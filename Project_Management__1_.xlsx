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avathi M\Downloads\"/>
    </mc:Choice>
  </mc:AlternateContent>
  <xr:revisionPtr revIDLastSave="0" documentId="13_ncr:1_{0B2F4098-E9BF-4260-B368-6E6CB30B516E}" xr6:coauthVersionLast="47" xr6:coauthVersionMax="47" xr10:uidLastSave="{00000000-0000-0000-0000-000000000000}"/>
  <bookViews>
    <workbookView xWindow="-110" yWindow="-110" windowWidth="19420" windowHeight="11500" activeTab="3" xr2:uid="{8A429731-BE60-49EA-A03B-F4C67E8C47CB}"/>
  </bookViews>
  <sheets>
    <sheet name="Dashboard" sheetId="12" r:id="rId1"/>
    <sheet name="Sheet2" sheetId="13" state="hidden" r:id="rId2"/>
    <sheet name="Materials &amp; Inventory" sheetId="2" r:id="rId3"/>
    <sheet name="Human Resources " sheetId="3" r:id="rId4"/>
    <sheet name="Casting and Testing Activity" sheetId="5" r:id="rId5"/>
    <sheet name="Flow Table Test " sheetId="6" r:id="rId6"/>
    <sheet name="Compression Test " sheetId="8" r:id="rId7"/>
    <sheet name="Flexural  Test " sheetId="11" r:id="rId8"/>
    <sheet name="Budget" sheetId="10" r:id="rId9"/>
    <sheet name="SCM" sheetId="9" r:id="rId10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2" l="1"/>
  <c r="B7" i="12"/>
  <c r="C34" i="12"/>
  <c r="C35" i="12" s="1"/>
  <c r="C37" i="12"/>
  <c r="C38" i="12"/>
  <c r="C39" i="12"/>
  <c r="C40" i="12"/>
  <c r="C41" i="12"/>
  <c r="C42" i="12"/>
  <c r="A4" i="11"/>
  <c r="A5" i="11"/>
  <c r="A6" i="11"/>
  <c r="A7" i="11"/>
  <c r="A8" i="11"/>
  <c r="K14" i="2"/>
  <c r="H19" i="2" s="1"/>
  <c r="K19" i="2" s="1"/>
  <c r="H20" i="2"/>
  <c r="K20" i="2" s="1"/>
  <c r="H21" i="2"/>
  <c r="K21" i="2" s="1"/>
  <c r="B7" i="2"/>
  <c r="I34" i="12"/>
  <c r="C36" i="12" l="1"/>
  <c r="N21" i="2"/>
  <c r="Q21" i="2"/>
  <c r="P19" i="2"/>
  <c r="Q19" i="2"/>
  <c r="P20" i="2"/>
  <c r="N20" i="2"/>
  <c r="Q20" i="2"/>
  <c r="P21" i="2"/>
  <c r="O21" i="2"/>
  <c r="O20" i="2"/>
  <c r="O19" i="2"/>
  <c r="N19" i="2"/>
  <c r="A9" i="8"/>
  <c r="A8" i="8"/>
  <c r="A7" i="8"/>
  <c r="A6" i="8"/>
  <c r="A5" i="8"/>
  <c r="A9" i="6"/>
  <c r="A8" i="6"/>
  <c r="A7" i="6"/>
  <c r="A6" i="6"/>
  <c r="A5" i="6"/>
  <c r="A10" i="3"/>
  <c r="A9" i="3"/>
  <c r="A8" i="3"/>
  <c r="A7" i="3"/>
  <c r="A6" i="3"/>
  <c r="K17" i="2"/>
  <c r="Q17" i="2" s="1"/>
  <c r="K16" i="2"/>
  <c r="O16" i="2" s="1"/>
  <c r="K15" i="2"/>
  <c r="Q15" i="2" s="1"/>
  <c r="Q14" i="2"/>
  <c r="K13" i="2"/>
  <c r="U10" i="2"/>
  <c r="F16" i="13"/>
  <c r="F15" i="13"/>
  <c r="F14" i="13"/>
  <c r="I11" i="13"/>
  <c r="M40" i="12"/>
  <c r="I12" i="13" s="1"/>
  <c r="O34" i="12"/>
  <c r="R7" i="12"/>
  <c r="J7" i="12"/>
  <c r="Q13" i="2" l="1"/>
  <c r="H18" i="2"/>
  <c r="K18" i="2" s="1"/>
  <c r="Q18" i="2" s="1"/>
  <c r="L7" i="2" s="1"/>
  <c r="N13" i="2"/>
  <c r="O13" i="2"/>
  <c r="P13" i="2"/>
  <c r="P16" i="2"/>
  <c r="Q16" i="2"/>
  <c r="N15" i="2"/>
  <c r="O15" i="2"/>
  <c r="P15" i="2"/>
  <c r="N17" i="2"/>
  <c r="O17" i="2"/>
  <c r="P17" i="2"/>
  <c r="N16" i="2"/>
  <c r="N14" i="2"/>
  <c r="O14" i="2"/>
  <c r="P14" i="2"/>
  <c r="P18" i="2" l="1"/>
  <c r="I7" i="2" s="1"/>
  <c r="O18" i="2"/>
  <c r="N18" i="2"/>
  <c r="C15" i="13"/>
  <c r="N7" i="12"/>
  <c r="C14" i="13"/>
  <c r="E7" i="2"/>
  <c r="C16" i="13"/>
  <c r="B29" i="2"/>
</calcChain>
</file>

<file path=xl/sharedStrings.xml><?xml version="1.0" encoding="utf-8"?>
<sst xmlns="http://schemas.openxmlformats.org/spreadsheetml/2006/main" count="657" uniqueCount="302">
  <si>
    <t>Materials &amp; Inventory</t>
  </si>
  <si>
    <t>S.No</t>
  </si>
  <si>
    <t>Date</t>
  </si>
  <si>
    <t>Material ID</t>
  </si>
  <si>
    <t>Material</t>
  </si>
  <si>
    <t>Category</t>
  </si>
  <si>
    <t>Supplier</t>
  </si>
  <si>
    <t>Unit</t>
  </si>
  <si>
    <t>Opening Stock</t>
  </si>
  <si>
    <t>Received</t>
  </si>
  <si>
    <t>Consumed</t>
  </si>
  <si>
    <t>Closing Stock</t>
  </si>
  <si>
    <t>Minimum Stock</t>
  </si>
  <si>
    <t>Required Stock</t>
  </si>
  <si>
    <t>Order Quantity</t>
  </si>
  <si>
    <t>Stock Status</t>
  </si>
  <si>
    <t>Purchase Required</t>
  </si>
  <si>
    <t>Purchase Priority</t>
  </si>
  <si>
    <t>Remarks</t>
  </si>
  <si>
    <t>CEM001</t>
  </si>
  <si>
    <t>OPC 53</t>
  </si>
  <si>
    <t>Cement</t>
  </si>
  <si>
    <t>ABC Cement</t>
  </si>
  <si>
    <t>kg</t>
  </si>
  <si>
    <t>—</t>
  </si>
  <si>
    <t>CEM002</t>
  </si>
  <si>
    <t>Flyash</t>
  </si>
  <si>
    <t>SCM's</t>
  </si>
  <si>
    <t>Reorder</t>
  </si>
  <si>
    <t>CEM003</t>
  </si>
  <si>
    <t>GGBS</t>
  </si>
  <si>
    <t>CEM004</t>
  </si>
  <si>
    <t>Super Plastizier</t>
  </si>
  <si>
    <t>Admixture</t>
  </si>
  <si>
    <t>CEM005</t>
  </si>
  <si>
    <t>Steel Fibres</t>
  </si>
  <si>
    <t xml:space="preserve">Employee Name </t>
  </si>
  <si>
    <t>Designation</t>
  </si>
  <si>
    <t>work Category</t>
  </si>
  <si>
    <t xml:space="preserve">Task </t>
  </si>
  <si>
    <t xml:space="preserve">Description </t>
  </si>
  <si>
    <t xml:space="preserve">Start Time </t>
  </si>
  <si>
    <t>End Time</t>
  </si>
  <si>
    <t xml:space="preserve">Task Status </t>
  </si>
  <si>
    <t xml:space="preserve">output/ Result </t>
  </si>
  <si>
    <t xml:space="preserve">Issue / Problem </t>
  </si>
  <si>
    <t>Corrective Action</t>
  </si>
  <si>
    <t xml:space="preserve">Supervisor </t>
  </si>
  <si>
    <t>Column1</t>
  </si>
  <si>
    <t>Column2</t>
  </si>
  <si>
    <t>Column3</t>
  </si>
  <si>
    <t>Neeraj</t>
  </si>
  <si>
    <t>Yazhini</t>
  </si>
  <si>
    <t xml:space="preserve">Mix ID </t>
  </si>
  <si>
    <t xml:space="preserve">Batch No </t>
  </si>
  <si>
    <t xml:space="preserve">Target Volume </t>
  </si>
  <si>
    <t>Actual Volume</t>
  </si>
  <si>
    <t xml:space="preserve">Cement </t>
  </si>
  <si>
    <t xml:space="preserve">Silica Fume </t>
  </si>
  <si>
    <t xml:space="preserve">GGBS </t>
  </si>
  <si>
    <t xml:space="preserve">Limestone  Powder </t>
  </si>
  <si>
    <t xml:space="preserve">Quartz Powder/ Sand </t>
  </si>
  <si>
    <t>Water</t>
  </si>
  <si>
    <t>Superplasticizer</t>
  </si>
  <si>
    <t>SRA</t>
  </si>
  <si>
    <t>Fibre</t>
  </si>
  <si>
    <t>Total Binder</t>
  </si>
  <si>
    <t>W/b Ratio</t>
  </si>
  <si>
    <t>SP Dosage</t>
  </si>
  <si>
    <t>Fibre Volume %</t>
  </si>
  <si>
    <t xml:space="preserve">Mixing  Start Time </t>
  </si>
  <si>
    <t xml:space="preserve">Mixing  End Time </t>
  </si>
  <si>
    <t>Mixing Duration</t>
  </si>
  <si>
    <t>Casting  Start</t>
  </si>
  <si>
    <t>Cast Completion</t>
  </si>
  <si>
    <t xml:space="preserve">Number Of Specimen </t>
  </si>
  <si>
    <t>Mould Type</t>
  </si>
  <si>
    <t xml:space="preserve">Demoulding Date </t>
  </si>
  <si>
    <t xml:space="preserve">Curing Method </t>
  </si>
  <si>
    <t xml:space="preserve">Curing Temperature </t>
  </si>
  <si>
    <t xml:space="preserve">Responsible ET </t>
  </si>
  <si>
    <t xml:space="preserve">Observation </t>
  </si>
  <si>
    <t xml:space="preserve">Trail ID </t>
  </si>
  <si>
    <t>Test Standard</t>
  </si>
  <si>
    <t xml:space="preserve">Ambient Temperature </t>
  </si>
  <si>
    <t xml:space="preserve">UHPC Temperature </t>
  </si>
  <si>
    <t>d1 (mm)</t>
  </si>
  <si>
    <t>d2(mm)</t>
  </si>
  <si>
    <t>D1-D2</t>
  </si>
  <si>
    <t>Average speed =  (d1+d2)/2 (mm)</t>
  </si>
  <si>
    <t>Flow Table  (mm)</t>
  </si>
  <si>
    <t xml:space="preserve">Stabilization Time </t>
  </si>
  <si>
    <t>Segregation</t>
  </si>
  <si>
    <t>w/b Ratio</t>
  </si>
  <si>
    <t xml:space="preserve">SP Dosage </t>
  </si>
  <si>
    <t xml:space="preserve">SRA Dosage </t>
  </si>
  <si>
    <t xml:space="preserve">Test ID </t>
  </si>
  <si>
    <t xml:space="preserve">Time </t>
  </si>
  <si>
    <t xml:space="preserve">Batch ID </t>
  </si>
  <si>
    <t xml:space="preserve">Specimen ID </t>
  </si>
  <si>
    <t xml:space="preserve">Test Standard </t>
  </si>
  <si>
    <t xml:space="preserve">Casting Date </t>
  </si>
  <si>
    <t xml:space="preserve">Target Age </t>
  </si>
  <si>
    <t xml:space="preserve">Actual Age </t>
  </si>
  <si>
    <t xml:space="preserve">Testing Temperature </t>
  </si>
  <si>
    <t>Specimen Type</t>
  </si>
  <si>
    <t>Nominal Length</t>
  </si>
  <si>
    <t>Nominal Width</t>
  </si>
  <si>
    <t>Nominal Height</t>
  </si>
  <si>
    <t>Measured Length</t>
  </si>
  <si>
    <t>Mesured Width</t>
  </si>
  <si>
    <t>Measured Height</t>
  </si>
  <si>
    <t>Diameter ( cylindrical Specimen )</t>
  </si>
  <si>
    <t xml:space="preserve">Cross sectional Area </t>
  </si>
  <si>
    <t>Loading Rate  (Mpa/s)</t>
  </si>
  <si>
    <t>Maximum Load (KN)</t>
  </si>
  <si>
    <t xml:space="preserve">Failure Type </t>
  </si>
  <si>
    <t xml:space="preserve">Faliure Observation </t>
  </si>
  <si>
    <t>Compressive Strength Mpa</t>
  </si>
  <si>
    <t>Target Strength Mpa</t>
  </si>
  <si>
    <t xml:space="preserve">Remarks </t>
  </si>
  <si>
    <t xml:space="preserve">Test Type </t>
  </si>
  <si>
    <t xml:space="preserve">Notched /Unnotched </t>
  </si>
  <si>
    <t xml:space="preserve"> Length (mm)</t>
  </si>
  <si>
    <t xml:space="preserve"> Width (mm)</t>
  </si>
  <si>
    <t xml:space="preserve"> Height (mm)</t>
  </si>
  <si>
    <t xml:space="preserve">Fibre Type </t>
  </si>
  <si>
    <t>Fibre Length (mm)</t>
  </si>
  <si>
    <t>Fibre Volume  (%)</t>
  </si>
  <si>
    <t>Notch Depth (mm)</t>
  </si>
  <si>
    <t>Notch Width (mm)</t>
  </si>
  <si>
    <t>Support Span (mm)</t>
  </si>
  <si>
    <t>Loading Direction</t>
  </si>
  <si>
    <t>Loading Rate (mm/min)</t>
  </si>
  <si>
    <t>First Crack Load (KN)</t>
  </si>
  <si>
    <t>First Crack Deflection (mm)</t>
  </si>
  <si>
    <t>First Crack Stress (Mpa)</t>
  </si>
  <si>
    <t xml:space="preserve"> </t>
  </si>
  <si>
    <t>Peak Load (KN)</t>
  </si>
  <si>
    <t>Peak Deflection (mm)</t>
  </si>
  <si>
    <t>Crack Opening at Peak (mm)</t>
  </si>
  <si>
    <t>Flexuarl Strength (Mpa)</t>
  </si>
  <si>
    <t>Residual Strength (Mpa)</t>
  </si>
  <si>
    <t>Ultimate Deflection (mm)</t>
  </si>
  <si>
    <t>Toughness (j)</t>
  </si>
  <si>
    <t xml:space="preserve">Failure Mode </t>
  </si>
  <si>
    <t>Summary Bangalore Plant Capex for Approval</t>
  </si>
  <si>
    <t>Cost Head</t>
  </si>
  <si>
    <t xml:space="preserve"> Basic Amount </t>
  </si>
  <si>
    <t>GST@18%</t>
  </si>
  <si>
    <t>Civil Work</t>
  </si>
  <si>
    <t>Plant &amp; Machinery</t>
  </si>
  <si>
    <t>R&amp;D Center</t>
  </si>
  <si>
    <t>Consultancy</t>
  </si>
  <si>
    <t xml:space="preserve">Misc (Store, Labour Qtrs, etc) </t>
  </si>
  <si>
    <t>Sub - Total</t>
  </si>
  <si>
    <t>Land Value</t>
  </si>
  <si>
    <t> </t>
  </si>
  <si>
    <t>Pre Operative Expense</t>
  </si>
  <si>
    <t>Total</t>
  </si>
  <si>
    <t>R&amp;D Center Budget Details</t>
  </si>
  <si>
    <t>Lab equipment</t>
  </si>
  <si>
    <t>No's</t>
  </si>
  <si>
    <t>Basic</t>
  </si>
  <si>
    <t xml:space="preserve"> gst(18%) </t>
  </si>
  <si>
    <t>total</t>
  </si>
  <si>
    <t>Compression Testing M/c-FTM-3000/350kN </t>
  </si>
  <si>
    <t>Sieve Shaker</t>
  </si>
  <si>
    <t>Microwave oven</t>
  </si>
  <si>
    <t>Mortar Mixer-5 Liter </t>
  </si>
  <si>
    <t>Mortar Mixer-20 Liter </t>
  </si>
  <si>
    <t>Concrete Mixer-Pan</t>
  </si>
  <si>
    <t>Concrete Grinding Machine</t>
  </si>
  <si>
    <t>Automatic Vicat Apparatus</t>
  </si>
  <si>
    <t>V Funnel Apparatus</t>
  </si>
  <si>
    <t>Humidity Chamber</t>
  </si>
  <si>
    <t>Curing tank</t>
  </si>
  <si>
    <t>Dust Extraction/Ventilation</t>
  </si>
  <si>
    <t>Plastic Mould-100 x 100 x 100 mm (steeel /Plastic)</t>
  </si>
  <si>
    <t>Dessicator Non-Vacuum Type-200mm dia</t>
  </si>
  <si>
    <t>Dessicator Vacuum Type-250mm dia</t>
  </si>
  <si>
    <t>Vacuum Pump for Dessicator-1/4 HP</t>
  </si>
  <si>
    <t>Scoop for soil and Concrete </t>
  </si>
  <si>
    <t>Scoop, Stainless Steel-Capacity 2kg.</t>
  </si>
  <si>
    <t>Restrained Shrinkage Ring </t>
  </si>
  <si>
    <t xml:space="preserve"> Analytical balance</t>
  </si>
  <si>
    <t xml:space="preserve"> Benchtop balance</t>
  </si>
  <si>
    <t xml:space="preserve"> platform balance</t>
  </si>
  <si>
    <t xml:space="preserve"> Muffle furnace</t>
  </si>
  <si>
    <t>Interior design</t>
  </si>
  <si>
    <t xml:space="preserve"> Curing Tank ( Heat Cool )</t>
  </si>
  <si>
    <t>ASR Moulds</t>
  </si>
  <si>
    <t xml:space="preserve">SCM Equipments and Instruments </t>
  </si>
  <si>
    <t>Item Code</t>
  </si>
  <si>
    <t>Item Description</t>
  </si>
  <si>
    <t>HSN</t>
  </si>
  <si>
    <t>Supplier / Vendor</t>
  </si>
  <si>
    <t>Delivery Date</t>
  </si>
  <si>
    <t>Qty</t>
  </si>
  <si>
    <t>UOM</t>
  </si>
  <si>
    <t>Rate (₹)</t>
  </si>
  <si>
    <t>Tax</t>
  </si>
  <si>
    <t>Purchase Req.</t>
  </si>
  <si>
    <t>Line Item</t>
  </si>
  <si>
    <t>Amount (₹)</t>
  </si>
  <si>
    <t>PO No.</t>
  </si>
  <si>
    <t>Received Qty</t>
  </si>
  <si>
    <t>Pending Qty</t>
  </si>
  <si>
    <t>Actual Delivery Date</t>
  </si>
  <si>
    <t>Purchase Status</t>
  </si>
  <si>
    <t>PVC Cube Mould – 50 × 50 × 50</t>
  </si>
  <si>
    <t>NOS</t>
  </si>
  <si>
    <t>IGST 18%</t>
  </si>
  <si>
    <t>1/420</t>
  </si>
  <si>
    <t>Ordered</t>
  </si>
  <si>
    <t>Plastic Mould – 100 × 100 × 100 mm</t>
  </si>
  <si>
    <t>1/410</t>
  </si>
  <si>
    <t>Beam Mould – 100 × 100 × 500 mm</t>
  </si>
  <si>
    <t>1/460</t>
  </si>
  <si>
    <t>Cube Mould – 40 × 40 × 160</t>
  </si>
  <si>
    <t>1/430</t>
  </si>
  <si>
    <t>Twin Shaft Mixer – UHPC Purpose Operated through Servo Motor</t>
  </si>
  <si>
    <t>BHS / Elba</t>
  </si>
  <si>
    <t>PO Released</t>
  </si>
  <si>
    <t>Compression Testing Machine</t>
  </si>
  <si>
    <t>KAIZEN</t>
  </si>
  <si>
    <t>Compression Testing Machine – Flexure Option / Servo Valve</t>
  </si>
  <si>
    <t>Controls / Testing</t>
  </si>
  <si>
    <t>In Approval</t>
  </si>
  <si>
    <t>Muffle Furnace</t>
  </si>
  <si>
    <t>Srintha Scientific</t>
  </si>
  <si>
    <t>Revised PR Pending</t>
  </si>
  <si>
    <t>Vibro Sieve Shaker – Sand Segregation</t>
  </si>
  <si>
    <t>JS Vibro</t>
  </si>
  <si>
    <t>In Audit</t>
  </si>
  <si>
    <t>Microwave Oven</t>
  </si>
  <si>
    <t>Moglix / LG</t>
  </si>
  <si>
    <t>Hot Air Oven</t>
  </si>
  <si>
    <t>Sai Krishna</t>
  </si>
  <si>
    <t>Pycnometer Bottles – Binders and Aggregates</t>
  </si>
  <si>
    <t>Sieve Brass Frame 20 cm × 4.75 mm</t>
  </si>
  <si>
    <t>Sieve Brass Frame 20 cm × 2.36 mm</t>
  </si>
  <si>
    <t>Sieve Brass Frame 20 cm × 1.18 mm</t>
  </si>
  <si>
    <t>Sieve Brass Frame 20 cm × 600 microns</t>
  </si>
  <si>
    <t>Sieve Brass Frame 20 cm × 300 microns</t>
  </si>
  <si>
    <t>Sieve Brass Frame 20 cm × 150 microns</t>
  </si>
  <si>
    <t>Sieve Brass Frame 20 cm × 75 microns</t>
  </si>
  <si>
    <t>Sieve Brass Frame 20 cm × 45 microns</t>
  </si>
  <si>
    <t>Pan and Cover for 20 cm Sieves</t>
  </si>
  <si>
    <t>Mortar Mixer – 5 Liter</t>
  </si>
  <si>
    <t>Hobart</t>
  </si>
  <si>
    <t>Commercial Negotiation</t>
  </si>
  <si>
    <t>Mortar Mixer – 20 Liter</t>
  </si>
  <si>
    <t>Mecons</t>
  </si>
  <si>
    <t>U Test</t>
  </si>
  <si>
    <t>Chirayu / Controls</t>
  </si>
  <si>
    <t>Slump Test Accessories</t>
  </si>
  <si>
    <t>Mortar Flow Table Accessories</t>
  </si>
  <si>
    <t>J Ring Apparatus</t>
  </si>
  <si>
    <t>L Box Apparatus</t>
  </si>
  <si>
    <t>U Box Test Apparatus</t>
  </si>
  <si>
    <t>R &amp; D LAB MANAGEMENT DASHBOARD</t>
  </si>
  <si>
    <t>Materials • Testing • Casting • Resources • Budget</t>
  </si>
  <si>
    <t>CASTING ACTIVITIES</t>
  </si>
  <si>
    <t>TOTAL TESTS</t>
  </si>
  <si>
    <t>CRITICAL MATERIALS</t>
  </si>
  <si>
    <t>TOTAL BUDGET</t>
  </si>
  <si>
    <t>TOTAL MATERIALS</t>
  </si>
  <si>
    <t>Status</t>
  </si>
  <si>
    <t>Adequate</t>
  </si>
  <si>
    <t xml:space="preserve">Low </t>
  </si>
  <si>
    <t>Critical</t>
  </si>
  <si>
    <t>Count</t>
  </si>
  <si>
    <t>Test</t>
  </si>
  <si>
    <t xml:space="preserve">Compression </t>
  </si>
  <si>
    <t>Flow Test</t>
  </si>
  <si>
    <t xml:space="preserve">No of Test </t>
  </si>
  <si>
    <t xml:space="preserve">Flexural Test </t>
  </si>
  <si>
    <t>Budget Status</t>
  </si>
  <si>
    <t>Total Budget</t>
  </si>
  <si>
    <t>Utilized</t>
  </si>
  <si>
    <t>Balance</t>
  </si>
  <si>
    <t>Budget Utilization</t>
  </si>
  <si>
    <t>Dr. Revanth Kumar</t>
  </si>
  <si>
    <t>Dr. Anand Raj</t>
  </si>
  <si>
    <t xml:space="preserve">Siva sri </t>
  </si>
  <si>
    <t xml:space="preserve">Mirityun </t>
  </si>
  <si>
    <t>Humidity</t>
  </si>
  <si>
    <t>Mix ID</t>
  </si>
  <si>
    <t xml:space="preserve">Date </t>
  </si>
  <si>
    <t>Target Flow (mm)</t>
  </si>
  <si>
    <t>Target Compressive Strength</t>
  </si>
  <si>
    <t>Target Flexural Strength</t>
  </si>
  <si>
    <t xml:space="preserve">Status </t>
  </si>
  <si>
    <t>Human  Resources</t>
  </si>
  <si>
    <t xml:space="preserve">MIX ID </t>
  </si>
  <si>
    <t>Casting And Testing Activity</t>
  </si>
  <si>
    <t xml:space="preserve">Flow Table Test </t>
  </si>
  <si>
    <t>Compressive Strength Test</t>
  </si>
  <si>
    <t>S. No</t>
  </si>
  <si>
    <t xml:space="preserve">Material </t>
  </si>
  <si>
    <t>Material To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</si>
</sst>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000000"/>
      <name val="Book Antiqua"/>
      <family val="1"/>
    </font>
    <font>
      <b/>
      <sz val="12"/>
      <color rgb="FF000000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000000"/>
      <name val="Calibri"/>
      <family val="2"/>
      <scheme val="minor"/>
    </font>
    <font>
      <b/>
      <sz val="25"/>
      <color theme="4" tint="-0.249977111117893"/>
      <name val="Calibri"/>
      <family val="2"/>
      <scheme val="minor"/>
    </font>
    <font>
      <sz val="20"/>
      <color theme="4" tint="-0.249977111117893"/>
      <name val="Calibri"/>
      <family val="2"/>
      <scheme val="minor"/>
    </font>
    <font>
      <sz val="30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4" tint="-0.499984740745262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5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right"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6" borderId="0" xfId="0" applyFill="1"/>
    <xf numFmtId="0" fontId="5" fillId="5" borderId="0" xfId="0" applyFont="1" applyFill="1"/>
    <xf numFmtId="0" fontId="4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0" borderId="1" xfId="0" applyBorder="1"/>
    <xf numFmtId="0" fontId="1" fillId="0" borderId="0" xfId="0" applyFont="1"/>
    <xf numFmtId="15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10" fillId="7" borderId="2" xfId="0" applyFont="1" applyFill="1" applyBorder="1"/>
    <xf numFmtId="0" fontId="10" fillId="7" borderId="3" xfId="0" applyFont="1" applyFill="1" applyBorder="1"/>
    <xf numFmtId="0" fontId="11" fillId="0" borderId="4" xfId="0" applyFont="1" applyBorder="1"/>
    <xf numFmtId="0" fontId="11" fillId="0" borderId="5" xfId="0" applyFont="1" applyBorder="1"/>
    <xf numFmtId="3" fontId="11" fillId="0" borderId="5" xfId="0" applyNumberFormat="1" applyFont="1" applyBorder="1"/>
    <xf numFmtId="0" fontId="10" fillId="7" borderId="4" xfId="0" applyFont="1" applyFill="1" applyBorder="1"/>
    <xf numFmtId="3" fontId="10" fillId="7" borderId="5" xfId="0" applyNumberFormat="1" applyFont="1" applyFill="1" applyBorder="1"/>
    <xf numFmtId="0" fontId="0" fillId="0" borderId="0" xfId="0" applyAlignment="1">
      <alignment vertical="center"/>
    </xf>
    <xf numFmtId="0" fontId="6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7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7" xfId="0" applyFont="1" applyFill="1" applyBorder="1"/>
    <xf numFmtId="4" fontId="8" fillId="2" borderId="7" xfId="0" applyNumberFormat="1" applyFont="1" applyFill="1" applyBorder="1" applyAlignment="1">
      <alignment horizontal="center"/>
    </xf>
    <xf numFmtId="3" fontId="8" fillId="2" borderId="7" xfId="0" applyNumberFormat="1" applyFont="1" applyFill="1" applyBorder="1" applyAlignment="1">
      <alignment horizontal="center"/>
    </xf>
    <xf numFmtId="3" fontId="8" fillId="2" borderId="7" xfId="0" applyNumberFormat="1" applyFont="1" applyFill="1" applyBorder="1" applyAlignment="1">
      <alignment horizontal="center" wrapText="1"/>
    </xf>
    <xf numFmtId="4" fontId="8" fillId="2" borderId="7" xfId="0" applyNumberFormat="1" applyFont="1" applyFill="1" applyBorder="1" applyAlignment="1">
      <alignment horizontal="center" wrapText="1"/>
    </xf>
    <xf numFmtId="0" fontId="9" fillId="2" borderId="7" xfId="0" applyFont="1" applyFill="1" applyBorder="1"/>
    <xf numFmtId="0" fontId="9" fillId="2" borderId="7" xfId="0" applyFont="1" applyFill="1" applyBorder="1" applyAlignment="1">
      <alignment horizontal="center"/>
    </xf>
    <xf numFmtId="4" fontId="6" fillId="2" borderId="7" xfId="0" applyNumberFormat="1" applyFont="1" applyFill="1" applyBorder="1" applyAlignment="1">
      <alignment horizontal="center"/>
    </xf>
    <xf numFmtId="4" fontId="7" fillId="2" borderId="7" xfId="0" applyNumberFormat="1" applyFont="1" applyFill="1" applyBorder="1" applyAlignment="1">
      <alignment horizontal="center"/>
    </xf>
    <xf numFmtId="9" fontId="0" fillId="0" borderId="0" xfId="1" applyFont="1"/>
    <xf numFmtId="0" fontId="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/>
    </xf>
    <xf numFmtId="0" fontId="18" fillId="9" borderId="0" xfId="0" applyFont="1" applyFill="1" applyAlignment="1">
      <alignment horizontal="center"/>
    </xf>
    <xf numFmtId="10" fontId="21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0" fontId="19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5" fillId="8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5" fillId="8" borderId="0" xfId="0" applyNumberFormat="1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 wrapText="1"/>
    </xf>
    <xf numFmtId="15" fontId="0" fillId="4" borderId="1" xfId="0" applyNumberFormat="1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15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4" borderId="1" xfId="0" applyFont="1" applyFill="1" applyBorder="1"/>
    <xf numFmtId="0" fontId="0" fillId="0" borderId="1" xfId="0" applyFont="1" applyBorder="1"/>
    <xf numFmtId="0" fontId="0" fillId="4" borderId="9" xfId="0" applyFont="1" applyFill="1" applyBorder="1"/>
    <xf numFmtId="15" fontId="0" fillId="4" borderId="9" xfId="0" applyNumberFormat="1" applyFont="1" applyFill="1" applyBorder="1" applyAlignment="1">
      <alignment vertical="center" wrapText="1"/>
    </xf>
    <xf numFmtId="0" fontId="0" fillId="4" borderId="9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 vertical="center"/>
    </xf>
    <xf numFmtId="0" fontId="24" fillId="9" borderId="0" xfId="0" applyFont="1" applyFill="1" applyBorder="1" applyAlignment="1">
      <alignment horizontal="center"/>
    </xf>
    <xf numFmtId="0" fontId="30" fillId="9" borderId="7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" borderId="0" xfId="0" applyFill="1" applyAlignment="1"/>
    <xf numFmtId="0" fontId="25" fillId="9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7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numFmt numFmtId="3" formatCode="#,##0"/>
    </dxf>
    <dxf>
      <alignment horizontal="center"/>
    </dxf>
    <dxf>
      <numFmt numFmtId="165" formatCode="d\-mmm\-yy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ook Antiqua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ook Antiqua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ook Antiqua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5006C"/>
      <color rgb="FF190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Inventory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0851114013210889E-2"/>
          <c:y val="0.1994906593933844"/>
          <c:w val="0.91678224054190838"/>
          <c:h val="0.65320021664586347"/>
        </c:manualLayout>
      </c:layout>
      <c:pie3DChart>
        <c:varyColors val="1"/>
        <c:ser>
          <c:idx val="0"/>
          <c:order val="0"/>
          <c:tx>
            <c:strRef>
              <c:f>Sheet2!$C$13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7FA-4AC0-B239-DE5F684DCE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7FA-4AC0-B239-DE5F684DCE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7FA-4AC0-B239-DE5F684DCE68}"/>
              </c:ext>
            </c:extLst>
          </c:dPt>
          <c:cat>
            <c:strRef>
              <c:f>Sheet2!$B$14:$B$16</c:f>
              <c:strCache>
                <c:ptCount val="3"/>
                <c:pt idx="0">
                  <c:v>Adequate</c:v>
                </c:pt>
                <c:pt idx="1">
                  <c:v>Low </c:v>
                </c:pt>
                <c:pt idx="2">
                  <c:v>Critical</c:v>
                </c:pt>
              </c:strCache>
            </c:strRef>
          </c:cat>
          <c:val>
            <c:numRef>
              <c:f>Sheet2!$C$14:$C$16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1-4D81-B2AA-7B51DDF57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Testing</a:t>
            </a:r>
            <a:r>
              <a:rPr lang="en-IN" sz="2000" b="1" baseline="0"/>
              <a:t> Activity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919726813838265E-2"/>
          <c:y val="0.16715283677172771"/>
          <c:w val="0.9155301837270341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Compression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Sheet2!$F$14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4-4EC4-AC8C-6C5FC6B30DF9}"/>
            </c:ext>
          </c:extLst>
        </c:ser>
        <c:ser>
          <c:idx val="1"/>
          <c:order val="1"/>
          <c:tx>
            <c:v>Flexural Test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Sheet2!$F$15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4-4EC4-AC8C-6C5FC6B30DF9}"/>
            </c:ext>
          </c:extLst>
        </c:ser>
        <c:ser>
          <c:idx val="2"/>
          <c:order val="2"/>
          <c:tx>
            <c:v>Flow Test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Sheet2!$F$16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4-4EC4-AC8C-6C5FC6B30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195080"/>
        <c:axId val="686195408"/>
      </c:barChart>
      <c:catAx>
        <c:axId val="686195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6195408"/>
        <c:crosses val="autoZero"/>
        <c:auto val="1"/>
        <c:lblAlgn val="ctr"/>
        <c:lblOffset val="100"/>
        <c:noMultiLvlLbl val="0"/>
      </c:catAx>
      <c:valAx>
        <c:axId val="6861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9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34778972998636E-2"/>
          <c:y val="0.13535997168016284"/>
          <c:w val="0.67441681706676526"/>
          <c:h val="0.46241162413252329"/>
        </c:manualLayout>
      </c:layout>
      <c:barChart>
        <c:barDir val="bar"/>
        <c:grouping val="stacked"/>
        <c:varyColors val="0"/>
        <c:ser>
          <c:idx val="0"/>
          <c:order val="0"/>
          <c:tx>
            <c:v>Budget Utilization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Sheet2!$I$11</c:f>
              <c:numCache>
                <c:formatCode>0%</c:formatCode>
                <c:ptCount val="1"/>
                <c:pt idx="0">
                  <c:v>0.34751872355379926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E-4A5D-8BBD-654FF554A479}"/>
            </c:ext>
          </c:extLst>
        </c:ser>
        <c:ser>
          <c:idx val="1"/>
          <c:order val="1"/>
          <c:tx>
            <c:v>Budget Balance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Sheet2!$I$12</c:f>
              <c:numCache>
                <c:formatCode>0%</c:formatCode>
                <c:ptCount val="1"/>
                <c:pt idx="0">
                  <c:v>0.65248127644620069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E-4A5D-8BBD-654FF554A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9656480"/>
        <c:axId val="609673208"/>
      </c:barChart>
      <c:catAx>
        <c:axId val="609656480"/>
        <c:scaling>
          <c:orientation val="minMax"/>
        </c:scaling>
        <c:delete val="1"/>
        <c:axPos val="l"/>
        <c:majorTickMark val="none"/>
        <c:minorTickMark val="none"/>
        <c:tickLblPos val="nextTo"/>
        <c:crossAx val="609673208"/>
        <c:crosses val="autoZero"/>
        <c:auto val="1"/>
        <c:lblAlgn val="ctr"/>
        <c:lblOffset val="100"/>
        <c:noMultiLvlLbl val="0"/>
      </c:catAx>
      <c:valAx>
        <c:axId val="609673208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5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54596031611387"/>
          <c:y val="0.2456396533614669"/>
          <c:w val="0.20069299862145645"/>
          <c:h val="0.49912315635764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593885</xdr:colOff>
      <xdr:row>12</xdr:row>
      <xdr:rowOff>3549</xdr:rowOff>
    </xdr:from>
    <xdr:to>
      <xdr:col>8</xdr:col>
      <xdr:colOff>586975</xdr:colOff>
      <xdr:row>26</xdr:row>
      <xdr:rowOff>171264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818A7-846A-430B-8C54-44E716F29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589643</xdr:colOff>
      <xdr:row>12</xdr:row>
      <xdr:rowOff>9072</xdr:rowOff>
    </xdr:from>
    <xdr:to>
      <xdr:col>18</xdr:col>
      <xdr:colOff>535214</xdr:colOff>
      <xdr:row>26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08AF6B-576F-4E0E-9FCD-01C0479DC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8549</xdr:colOff>
      <xdr:row>42</xdr:row>
      <xdr:rowOff>134467</xdr:rowOff>
    </xdr:from>
    <xdr:to>
      <xdr:col>20</xdr:col>
      <xdr:colOff>105</xdr:colOff>
      <xdr:row>47</xdr:row>
      <xdr:rowOff>134467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7161B2-A33D-414B-AEE7-788FAB1BB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171450</xdr:rowOff>
    </xdr:from>
    <xdr:to>
      <xdr:col>3</xdr:col>
      <xdr:colOff>0</xdr:colOff>
      <xdr:row>6</xdr:row>
      <xdr:rowOff>0</xdr:rowOff>
    </xdr:to>
    <xdr:sp macro="" textlink="">
      <xdr:nvSpPr>
        <xdr:cNvPr id="43" name="Rounded Rectangle 1">
          <a:extLst>
            <a:ext uri="{FF2B5EF4-FFF2-40B4-BE49-F238E27FC236}">
              <a16:creationId xmlns:a16="http://schemas.microsoft.com/office/drawing/2014/main" id="{29029B21-5102-F1E5-2E90-9F9B752B6651}"/>
            </a:ext>
          </a:extLst>
        </xdr:cNvPr>
        <xdr:cNvSpPr/>
      </xdr:nvSpPr>
      <xdr:spPr>
        <a:xfrm>
          <a:off x="581025" y="714375"/>
          <a:ext cx="1733550" cy="390525"/>
        </a:xfrm>
        <a:prstGeom prst="rect">
          <a:avLst/>
        </a:prstGeom>
        <a:solidFill>
          <a:schemeClr val="accent2"/>
        </a:solidFill>
        <a:ln>
          <a:solidFill>
            <a:srgbClr val="F7A88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Total Materials</a:t>
          </a:r>
        </a:p>
        <a:p>
          <a:pPr marL="0" indent="0" algn="ctr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-409575</xdr:colOff>
      <xdr:row>0</xdr:row>
      <xdr:rowOff>-2066925</xdr:rowOff>
    </xdr:from>
    <xdr:to>
      <xdr:col>1</xdr:col>
      <xdr:colOff>762000</xdr:colOff>
      <xdr:row>0</xdr:row>
      <xdr:rowOff>-1676400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88088D-31D7-4C15-8867-FC5F4DD16FB3}"/>
            </a:ext>
            <a:ext uri="{147F2762-F138-4A5C-976F-8EAC2B608ADB}">
              <a16:predDERef xmlns:a16="http://schemas.microsoft.com/office/drawing/2014/main" pred="{A0C1787B-FE66-4215-A0D8-A9DBA864D770}"/>
            </a:ext>
          </a:extLst>
        </xdr:cNvPr>
        <xdr:cNvSpPr/>
      </xdr:nvSpPr>
      <xdr:spPr>
        <a:xfrm>
          <a:off x="-409575" y="-2066925"/>
          <a:ext cx="1743075" cy="390525"/>
        </a:xfrm>
        <a:prstGeom prst="rect">
          <a:avLst/>
        </a:prstGeom>
        <a:solidFill>
          <a:srgbClr val="F7A883"/>
        </a:solidFill>
        <a:ln>
          <a:solidFill>
            <a:srgbClr val="F7A88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Low Stock</a:t>
          </a:r>
        </a:p>
        <a:p>
          <a:pPr marL="0" indent="0" algn="ctr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0</xdr:colOff>
      <xdr:row>3</xdr:row>
      <xdr:rowOff>161925</xdr:rowOff>
    </xdr:from>
    <xdr:to>
      <xdr:col>7</xdr:col>
      <xdr:colOff>0</xdr:colOff>
      <xdr:row>5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3C5D1A0-8757-42C5-956E-463ACD23B11B}"/>
            </a:ext>
            <a:ext uri="{147F2762-F138-4A5C-976F-8EAC2B608ADB}">
              <a16:predDERef xmlns:a16="http://schemas.microsoft.com/office/drawing/2014/main" pred="{9A88088D-31D7-4C15-8867-FC5F4DD16FB3}"/>
            </a:ext>
          </a:extLst>
        </xdr:cNvPr>
        <xdr:cNvSpPr/>
      </xdr:nvSpPr>
      <xdr:spPr>
        <a:xfrm>
          <a:off x="2990850" y="704850"/>
          <a:ext cx="1762125" cy="390525"/>
        </a:xfrm>
        <a:prstGeom prst="rect">
          <a:avLst/>
        </a:prstGeom>
        <a:solidFill>
          <a:schemeClr val="accent2"/>
        </a:solidFill>
        <a:ln>
          <a:solidFill>
            <a:srgbClr val="F7A88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Low Stock</a:t>
          </a:r>
        </a:p>
        <a:p>
          <a:pPr marL="0" indent="0" algn="ctr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9524</xdr:colOff>
      <xdr:row>3</xdr:row>
      <xdr:rowOff>171450</xdr:rowOff>
    </xdr:from>
    <xdr:to>
      <xdr:col>9</xdr:col>
      <xdr:colOff>819149</xdr:colOff>
      <xdr:row>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14E26B-0FC2-42FB-A97F-F5297DF6BDAB}"/>
            </a:ext>
            <a:ext uri="{147F2762-F138-4A5C-976F-8EAC2B608ADB}">
              <a16:predDERef xmlns:a16="http://schemas.microsoft.com/office/drawing/2014/main" pred="{C3C5D1A0-8757-42C5-956E-463ACD23B11B}"/>
            </a:ext>
          </a:extLst>
        </xdr:cNvPr>
        <xdr:cNvSpPr/>
      </xdr:nvSpPr>
      <xdr:spPr>
        <a:xfrm>
          <a:off x="6353174" y="723900"/>
          <a:ext cx="1520825" cy="381000"/>
        </a:xfrm>
        <a:prstGeom prst="rect">
          <a:avLst/>
        </a:prstGeom>
        <a:solidFill>
          <a:schemeClr val="accent2"/>
        </a:solidFill>
        <a:ln>
          <a:solidFill>
            <a:srgbClr val="F7A88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Purchase Required</a:t>
          </a:r>
        </a:p>
        <a:p>
          <a:pPr marL="0" indent="0" algn="ctr"/>
          <a:endParaRPr lang="en-US" sz="12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0</xdr:colOff>
      <xdr:row>6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189B9A1-EDD6-4E7F-B690-94114B058F90}"/>
            </a:ext>
            <a:ext uri="{147F2762-F138-4A5C-976F-8EAC2B608ADB}">
              <a16:predDERef xmlns:a16="http://schemas.microsoft.com/office/drawing/2014/main" pred="{D414E26B-0FC2-42FB-A97F-F5297DF6BDAB}"/>
            </a:ext>
          </a:extLst>
        </xdr:cNvPr>
        <xdr:cNvSpPr/>
      </xdr:nvSpPr>
      <xdr:spPr>
        <a:xfrm>
          <a:off x="8239125" y="723900"/>
          <a:ext cx="2085975" cy="390525"/>
        </a:xfrm>
        <a:prstGeom prst="rect">
          <a:avLst/>
        </a:prstGeom>
        <a:solidFill>
          <a:schemeClr val="accent2"/>
        </a:solidFill>
        <a:ln>
          <a:solidFill>
            <a:srgbClr val="F7A88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Urgent Purchases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AF68EEF-8BDF-4B8A-90F4-8A25B05AE292}" name="Table19" displayName="Table19" ref="B33:C36" totalsRowShown="0" headerRowDxfId="34" dataDxfId="35">
  <autoFilter ref="B33:C36" xr:uid="{1AF68EEF-8BDF-4B8A-90F4-8A25B05AE292}"/>
  <tableColumns count="2">
    <tableColumn id="1" xr3:uid="{302845B9-3AD5-4005-96AD-FF3DD2A78502}" name="S. No" dataDxfId="36"/>
    <tableColumn id="2" xr3:uid="{9C0B33EC-7FF0-471E-8F91-0D101B12F74B}" name="Material " dataDxfId="30">
      <calculatedColumnFormula>IFERROR(INDEX('Materials &amp; Inventory'!$D$13:$D$5000,_xlfn.AGGREGATE(15,6,(ROW('Materials &amp; Inventory'!$D$13:$D$5000)-ROW('Materials &amp; Inventory'!$D$13)+1)/(('Materials &amp; Inventory'!$O$13:$O$5000="Critical")*(COUNTIF($C$33:C33,'Materials &amp; Inventory'!$D$13:$D$5000)=0)),1)),"")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829D1-F7B3-4871-85CC-D1A0466A2138}" name="Table1" displayName="Table1" ref="A12:R21" totalsRowShown="0" headerRowDxfId="174" dataDxfId="173">
  <autoFilter ref="A12:R21" xr:uid="{51D059DC-61EE-48DC-B095-6E106A8A42CC}"/>
  <tableColumns count="18">
    <tableColumn id="1" xr3:uid="{06C973B9-CE30-4C0C-8F01-27ABE5DB2CF0}" name="S.No"/>
    <tableColumn id="2" xr3:uid="{55798527-6C8C-41DB-8468-95A62D932F7A}" name="Date" dataDxfId="172"/>
    <tableColumn id="3" xr3:uid="{1755B682-54A9-4B5A-8129-84A91FA2A4B3}" name="Material ID" dataDxfId="171"/>
    <tableColumn id="4" xr3:uid="{E55EAA7E-790B-4B63-89F7-22BF6E2FEDC2}" name="Material" dataDxfId="170"/>
    <tableColumn id="5" xr3:uid="{294A6FA2-AAAC-4A5E-8417-E56DB0A0763F}" name="Category" dataDxfId="169"/>
    <tableColumn id="6" xr3:uid="{63573C8B-84B2-4E4B-B77C-D420C9A75F0C}" name="Supplier" dataDxfId="168"/>
    <tableColumn id="7" xr3:uid="{012C5EC8-0D48-4B0D-B64F-DC763102C4F8}" name="Unit" dataDxfId="167"/>
    <tableColumn id="8" xr3:uid="{50D0DF70-12CC-40EF-809C-78140D74AFFD}" name="Opening Stock" dataDxfId="166"/>
    <tableColumn id="9" xr3:uid="{D85551BD-D145-4173-A4E0-26BCFE5233EB}" name="Received" dataDxfId="165"/>
    <tableColumn id="10" xr3:uid="{C4C75371-905E-4658-AD7F-B8EB956581D9}" name="Consumed" dataDxfId="164"/>
    <tableColumn id="11" xr3:uid="{168832A3-9676-41B9-ABE1-85C20268F9F8}" name="Closing Stock" dataDxfId="163">
      <calculatedColumnFormula>(H13+I13)-J13</calculatedColumnFormula>
    </tableColumn>
    <tableColumn id="12" xr3:uid="{94B0FE83-9731-40DD-A1CC-04704009887C}" name="Minimum Stock" dataDxfId="162"/>
    <tableColumn id="13" xr3:uid="{D47CB6DD-E57F-4790-A172-83959B2F77DB}" name="Required Stock" dataDxfId="161"/>
    <tableColumn id="14" xr3:uid="{70398FA9-2070-42BA-9072-C03FB6D9902B}" name="Order Quantity" dataDxfId="160">
      <calculatedColumnFormula>MAX(0,M13-K13)</calculatedColumnFormula>
    </tableColumn>
    <tableColumn id="15" xr3:uid="{9C2E23BA-432A-4273-82C5-690EEED2CE51}" name="Stock Status" dataDxfId="159">
      <calculatedColumnFormula>IF(K13&lt;L13,"Critical",IF(Table1[[#This Row],[Closing Stock]]&lt;Table1[[#This Row],[Required Stock]],"Low","Adequate"))</calculatedColumnFormula>
    </tableColumn>
    <tableColumn id="16" xr3:uid="{A49D71CF-F259-4CB4-BF6A-59B4998F1AD7}" name="Purchase Required" dataDxfId="158">
      <calculatedColumnFormula>IF(K13&lt;M13,"Yes","No")</calculatedColumnFormula>
    </tableColumn>
    <tableColumn id="17" xr3:uid="{2A8433A5-3C0D-4F7E-B8D2-D086AA463486}" name="Purchase Priority" dataDxfId="157">
      <calculatedColumnFormula>IF(K13&lt;L13,"Urgent",IF(K13&lt;M13,"Normal","-"))</calculatedColumnFormula>
    </tableColumn>
    <tableColumn id="18" xr3:uid="{757940CE-A476-4D74-8FB6-A76D7A2BBD36}" name="Remarks" dataDxfId="1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EAA1E4-6295-403C-B628-7534AB390EED}" name="Table13" displayName="Table13" ref="A5:R14" totalsRowShown="0" headerRowDxfId="155" dataDxfId="154">
  <autoFilter ref="A5:R14" xr:uid="{F5EAA1E4-6295-403C-B628-7534AB390EED}"/>
  <tableColumns count="18">
    <tableColumn id="1" xr3:uid="{FC281C5C-E524-4608-9B3C-E451E18A7108}" name="S.No">
      <calculatedColumnFormula>ROW() - ROW(Table13[[#Headers],[S.No]])</calculatedColumnFormula>
    </tableColumn>
    <tableColumn id="2" xr3:uid="{11D1F376-6BE7-4C0B-96C2-1D0C0ECBFED6}" name="Date" dataDxfId="153"/>
    <tableColumn id="4" xr3:uid="{68FFCA0E-3BAB-4131-A672-D2F4C5011614}" name="Employee Name " dataDxfId="152"/>
    <tableColumn id="5" xr3:uid="{0537FA2D-6BE5-429C-9788-8A4793147B55}" name="Designation" dataDxfId="151"/>
    <tableColumn id="6" xr3:uid="{77E87A16-F70D-4025-AE52-94F4BCCD5F6F}" name="work Category" dataDxfId="150"/>
    <tableColumn id="7" xr3:uid="{DC0BB7F4-8BA6-4C4D-878B-2FB217853BAC}" name="Task " dataDxfId="149"/>
    <tableColumn id="3" xr3:uid="{AE51ED5F-C4E8-44CE-8A0F-A616CDC307BB}" name="Description " dataDxfId="148"/>
    <tableColumn id="8" xr3:uid="{B3D7EC84-AC96-4748-8723-ED75D0A4644D}" name="Start Time " dataDxfId="147"/>
    <tableColumn id="9" xr3:uid="{B43EEDE6-3CB5-4AFE-9637-1B1E33CB67F1}" name="End Time" dataDxfId="146"/>
    <tableColumn id="10" xr3:uid="{6246C42C-EDF2-4D38-AF97-826E9DA14E27}" name="Task Status " dataDxfId="145"/>
    <tableColumn id="11" xr3:uid="{514091B8-8CF2-4B49-9EEE-CDE55A7921BC}" name="output/ Result " dataDxfId="144"/>
    <tableColumn id="12" xr3:uid="{22C57490-8EDF-44EF-9BDF-97CF0F35E161}" name="Issue / Problem " dataDxfId="143"/>
    <tableColumn id="13" xr3:uid="{FE71BA83-C4F1-42AD-8221-8A66C2123C8D}" name="Corrective Action" dataDxfId="142"/>
    <tableColumn id="14" xr3:uid="{8750BAD3-91A6-495C-B404-931302CCA69F}" name="Supervisor " dataDxfId="141"/>
    <tableColumn id="15" xr3:uid="{9F61FAD7-1432-4342-B9CE-A42EFC5FED10}" name="Remarks" dataDxfId="140"/>
    <tableColumn id="16" xr3:uid="{A3367B70-4692-4B36-AA07-B2BF58BE8A44}" name="Column1" dataDxfId="139"/>
    <tableColumn id="17" xr3:uid="{6658C0BF-3A3D-41B7-93A5-7F8EEEFBA0C7}" name="Column2" dataDxfId="138"/>
    <tableColumn id="18" xr3:uid="{B817A5B3-CB45-4A2B-A943-5EBF228986B4}" name="Column3" dataDxfId="1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40B073-61EC-4D28-ABAC-C751BB71796E}" name="Table5" displayName="Table5" ref="A27:AG30" totalsRowShown="0" headerRowDxfId="136" tableBorderDxfId="135">
  <autoFilter ref="A27:AG30" xr:uid="{3540B073-61EC-4D28-ABAC-C751BB71796E}"/>
  <tableColumns count="33">
    <tableColumn id="1" xr3:uid="{847D4D3A-C65C-4343-A586-840F217E4F88}" name="S.No"/>
    <tableColumn id="2" xr3:uid="{71C3E0D8-6BAC-4E3A-A6B8-EC8868F41FCF}" name="Date"/>
    <tableColumn id="3" xr3:uid="{92551548-91AB-426B-BEBD-D9362C60AEBC}" name="Mix ID "/>
    <tableColumn id="4" xr3:uid="{1402E950-8CAE-4060-B43D-D6CBC0BB0501}" name="Batch No "/>
    <tableColumn id="5" xr3:uid="{26291B97-DCB1-4255-8220-ADF625AE90AA}" name="Target Volume "/>
    <tableColumn id="6" xr3:uid="{A53038AA-AF05-43F8-A7AA-749DF3DBD285}" name="Actual Volume"/>
    <tableColumn id="7" xr3:uid="{843DE944-81EA-452B-86A2-636A05E0CA0B}" name="Cement "/>
    <tableColumn id="8" xr3:uid="{B64638BC-5C41-49A2-AE17-BBADC97F76CB}" name="Silica Fume "/>
    <tableColumn id="9" xr3:uid="{F94BF7A5-BD24-4BD2-A579-B22CDE910B2D}" name="GGBS "/>
    <tableColumn id="10" xr3:uid="{B9ED67B6-222F-4E62-B54F-512998F82F5C}" name="Limestone  Powder "/>
    <tableColumn id="11" xr3:uid="{E7AC4F4A-EA15-4902-80C1-AAC3D833109E}" name="Quartz Powder/ Sand "/>
    <tableColumn id="12" xr3:uid="{B4FB482D-C531-4484-81E9-5B5161E060FF}" name="Water"/>
    <tableColumn id="13" xr3:uid="{ECC4A265-7AC3-413E-B399-65E3AF59665C}" name="Superplasticizer"/>
    <tableColumn id="14" xr3:uid="{FE500191-AD95-4AE9-9097-AAFF713E8317}" name="SRA"/>
    <tableColumn id="15" xr3:uid="{16631C73-DB8D-450A-9BED-8D137BE2BF31}" name="Fibre"/>
    <tableColumn id="16" xr3:uid="{BA9F2E86-C28D-4439-88C4-1A78E5361244}" name="Total Binder"/>
    <tableColumn id="17" xr3:uid="{17940499-C367-485B-ADB1-A2287C08E981}" name="W/b Ratio"/>
    <tableColumn id="32" xr3:uid="{B2E08EF9-C6C3-40C7-9CD7-A7BCDAB82F18}" name="SP Dosage"/>
    <tableColumn id="33" xr3:uid="{FE07D6BB-FBF3-4D03-B210-D5ABCA5D9DD8}" name="Fibre Volume %"/>
    <tableColumn id="18" xr3:uid="{9320A970-57C6-42B6-B754-0A0F5F098287}" name="Mixing  Start Time "/>
    <tableColumn id="19" xr3:uid="{2EFB5668-9E57-40A2-B47C-47690A38787D}" name="Mixing  End Time "/>
    <tableColumn id="23" xr3:uid="{69930F97-CEFA-4808-8AB7-90F1C841BEF3}" name="Humidity"/>
    <tableColumn id="20" xr3:uid="{001C4E75-4FD1-47DC-9DFE-19353C3FC9AF}" name="Mixing Duration"/>
    <tableColumn id="34" xr3:uid="{C7B005E7-F5D6-4790-8A89-1495C62DD011}" name="Casting  Start"/>
    <tableColumn id="35" xr3:uid="{3F4F305C-FEA3-4D99-98A2-9BCE3C2080CB}" name="Cast Completion"/>
    <tableColumn id="36" xr3:uid="{A906D107-951F-4E18-B33A-5761B37E53C9}" name="Number Of Specimen "/>
    <tableColumn id="37" xr3:uid="{57055885-0DF1-4496-81E2-ECD89260BA90}" name="Mould Type"/>
    <tableColumn id="21" xr3:uid="{FFFAC998-2741-4C08-9E4A-472376BB3BED}" name="Demoulding Date "/>
    <tableColumn id="22" xr3:uid="{812B54E9-14EC-4CAE-B256-FEB957242D3B}" name="Curing Method "/>
    <tableColumn id="26" xr3:uid="{F58190E3-5C16-4DAE-8E99-A410E79C08CC}" name="Curing Temperature "/>
    <tableColumn id="27" xr3:uid="{F1F4749C-E846-4348-B688-BDB655EED0D2}" name="Responsible ET "/>
    <tableColumn id="28" xr3:uid="{3FD5810F-6067-48DE-9915-6E492E66661B}" name="Observation "/>
    <tableColumn id="29" xr3:uid="{AE0A195B-CBD7-4363-865C-7CA41D20E0F0}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7CDE6C-4B35-4CF6-940B-19763D249E77}" name="Table14" displayName="Table14" ref="A7:G16" totalsRowShown="0" headerRowDxfId="38" dataDxfId="49" headerRowBorderDxfId="47" tableBorderDxfId="48" totalsRowBorderDxfId="46">
  <autoFilter ref="A7:G16" xr:uid="{EF7CDE6C-4B35-4CF6-940B-19763D249E77}"/>
  <tableColumns count="7">
    <tableColumn id="1" xr3:uid="{F0775BC7-D29B-4C6D-80BD-15EE609E173B}" name="S.No" dataDxfId="45"/>
    <tableColumn id="2" xr3:uid="{8E29588A-2055-4A06-BB6D-EAE5A8418783}" name="Mix ID" dataDxfId="44"/>
    <tableColumn id="3" xr3:uid="{C009F986-5C71-483E-8DCC-D2B4BB50180B}" name="Date " dataDxfId="43"/>
    <tableColumn id="4" xr3:uid="{92C9DC57-0593-44F3-AE05-5D7494B9D258}" name="Target Flow (mm)" dataDxfId="42"/>
    <tableColumn id="5" xr3:uid="{5C1440D2-4F2A-47D8-BECB-899D238AA552}" name="Target Compressive Strength" dataDxfId="41"/>
    <tableColumn id="6" xr3:uid="{70EDC92F-C57B-4425-9F2F-A638B450D886}" name="Target Flexural Strength" dataDxfId="40"/>
    <tableColumn id="7" xr3:uid="{EA1B2A0B-3F95-44CF-AE1F-319D78D03F31}" name="Status 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EB32D6-8620-40AB-92D7-C276791BBBC8}" name="Table15" displayName="Table15" ref="H7:H16" totalsRowShown="0" headerRowDxfId="37">
  <autoFilter ref="H7:H16" xr:uid="{57EB32D6-8620-40AB-92D7-C276791BBBC8}"/>
  <tableColumns count="1">
    <tableColumn id="1" xr3:uid="{F4ED3C54-0DDE-4350-A700-AF5C836C0FD1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F5FFFB-B6A7-446C-8D86-D873243BCF2F}" name="Table134" displayName="Table134" ref="A4:R13" totalsRowShown="0" headerRowDxfId="134" dataDxfId="133">
  <autoFilter ref="A4:R13" xr:uid="{49F5FFFB-B6A7-446C-8D86-D873243BCF2F}"/>
  <tableColumns count="18">
    <tableColumn id="1" xr3:uid="{9FAFB27B-520A-4F74-922F-432AAA806A48}" name="S.No">
      <calculatedColumnFormula>ROW() - ROW(Table134[[#Headers],[S.No]])</calculatedColumnFormula>
    </tableColumn>
    <tableColumn id="2" xr3:uid="{2CCD90F1-3176-4252-8EFB-13C56C1BB41B}" name="Date" dataDxfId="132"/>
    <tableColumn id="4" xr3:uid="{C4464BE6-1843-4B09-B9AE-42B420DE0187}" name="Trail ID " dataDxfId="131"/>
    <tableColumn id="5" xr3:uid="{62BEF082-E654-4ED5-B278-0E62EA7295F8}" name="Mix ID " dataDxfId="130"/>
    <tableColumn id="6" xr3:uid="{8102715D-9475-4ED4-BF55-C23BADA92A19}" name="Test Standard" dataDxfId="129"/>
    <tableColumn id="3" xr3:uid="{44C9674D-BAA7-488A-A9BC-040B55F69AB4}" name="Ambient Temperature " dataDxfId="128"/>
    <tableColumn id="19" xr3:uid="{1B8B5D39-FFD6-4346-A171-BD9179138C19}" name="UHPC Temperature " dataDxfId="127"/>
    <tableColumn id="20" xr3:uid="{6E1E6351-8413-4CBE-938B-CD3201A39A60}" name="d1 (mm)" dataDxfId="126"/>
    <tableColumn id="21" xr3:uid="{44DCFEC7-5BAB-4517-A067-3EDAEDBF8864}" name="d2(mm)" dataDxfId="125"/>
    <tableColumn id="28" xr3:uid="{FE5D64E4-2CDF-4A29-88DF-EA0734CC1BFF}" name="D1-D2" dataDxfId="124"/>
    <tableColumn id="22" xr3:uid="{925F008E-E869-4CED-A6CE-692D21BBEE64}" name="Average speed =  (d1+d2)/2 (mm)" dataDxfId="123"/>
    <tableColumn id="23" xr3:uid="{F0EA0645-869B-4591-A951-ED0D953666A4}" name="Flow Table  (mm)" dataDxfId="122"/>
    <tableColumn id="24" xr3:uid="{25FF2A7B-3F93-470A-88A2-4891298F4B5C}" name="Stabilization Time " dataDxfId="121"/>
    <tableColumn id="25" xr3:uid="{156F4C0E-3041-423C-AA87-2A80EA8E220D}" name="Segregation" dataDxfId="120"/>
    <tableColumn id="26" xr3:uid="{E77F3F06-0174-41AF-9181-0005BA30815C}" name="w/b Ratio" dataDxfId="119"/>
    <tableColumn id="27" xr3:uid="{5516845E-E326-4525-9D3C-DD446BE8DED9}" name="SP Dosage " dataDxfId="118"/>
    <tableColumn id="10" xr3:uid="{E2D3BFFB-27EF-41BB-BF0C-DD5DD92CFD60}" name="SRA Dosage " dataDxfId="117"/>
    <tableColumn id="11" xr3:uid="{D1343F15-662E-4460-992A-26C0E27954FD}" name="Humidity" dataDxfId="1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D243AF-1B05-483D-806D-64D98F56A989}" name="Table1345" displayName="Table1345" ref="A4:X13" totalsRowShown="0" headerRowDxfId="115" dataDxfId="114">
  <autoFilter ref="A4:X13" xr:uid="{92D243AF-1B05-483D-806D-64D98F56A989}"/>
  <tableColumns count="24">
    <tableColumn id="1" xr3:uid="{DC5A9ABF-4235-4B58-AC85-0A963C77D347}" name="S.No">
      <calculatedColumnFormula>ROW() - ROW(Table1345[[#Headers],[S.No]])</calculatedColumnFormula>
    </tableColumn>
    <tableColumn id="2" xr3:uid="{317C5320-199B-4DF0-8876-767EE9E61CEA}" name="Date" dataDxfId="113"/>
    <tableColumn id="4" xr3:uid="{CBEF76E0-5260-42A6-8BFE-6B819532D33E}" name="Test ID " dataDxfId="112"/>
    <tableColumn id="5" xr3:uid="{D014AA05-56B6-40B6-8FEA-564E733F29D0}" name="Time " dataDxfId="111"/>
    <tableColumn id="6" xr3:uid="{7BDB9A10-2796-4E99-B325-813586B1E137}" name="Mix ID " dataDxfId="110"/>
    <tableColumn id="3" xr3:uid="{3AF55CCB-112F-4917-A482-5760AA6F5F52}" name="Batch ID " dataDxfId="109"/>
    <tableColumn id="19" xr3:uid="{9282CC49-2644-4AAB-B870-6D71EC85708C}" name="Specimen ID " dataDxfId="108"/>
    <tableColumn id="20" xr3:uid="{5A9243BB-E4D6-4C3E-9127-E878E5177780}" name="Test Standard " dataDxfId="107"/>
    <tableColumn id="21" xr3:uid="{AF910F1E-599D-4584-86C9-3EB6D40D7AB8}" name="Casting Date " dataDxfId="106"/>
    <tableColumn id="22" xr3:uid="{55327105-14EB-4B77-9796-0C90B0C0F145}" name="Target Age " dataDxfId="105"/>
    <tableColumn id="23" xr3:uid="{E5590454-C1CE-444A-A7F4-28761C4E7E08}" name="Actual Age " dataDxfId="104"/>
    <tableColumn id="24" xr3:uid="{8E06453D-2BED-4988-B478-D8AD10CDFBA9}" name="Curing Temperature " dataDxfId="103"/>
    <tableColumn id="25" xr3:uid="{E9F1EB7F-DC40-408E-919C-59B0C57D929D}" name="Testing Temperature " dataDxfId="102"/>
    <tableColumn id="26" xr3:uid="{EFC2CE66-75E8-41E7-A07B-F1801466297D}" name="Specimen Type" dataDxfId="101"/>
    <tableColumn id="27" xr3:uid="{7B4ABE91-E885-4384-B7E8-0398612E8892}" name="Nominal Length" dataDxfId="100"/>
    <tableColumn id="10" xr3:uid="{C086B0D2-ACD0-4C1E-AFAE-88F5A7FDD7A4}" name="Nominal Width" dataDxfId="99"/>
    <tableColumn id="11" xr3:uid="{05433A61-1243-43A0-B6EA-E538B4A4B9F6}" name="Nominal Height" dataDxfId="98"/>
    <tableColumn id="12" xr3:uid="{166D0075-8564-4FF8-BEA1-96F4019CB976}" name="Measured Length" dataDxfId="97"/>
    <tableColumn id="13" xr3:uid="{768C3816-4D0C-401C-80FC-663C9C14ED01}" name="Mesured Width" dataDxfId="96"/>
    <tableColumn id="14" xr3:uid="{FEA81A0A-14C4-4FDD-899A-50D245004475}" name="Measured Height" dataDxfId="95"/>
    <tableColumn id="15" xr3:uid="{8D956E84-0289-444A-897C-E5E026C71075}" name="Diameter ( cylindrical Specimen )" dataDxfId="94"/>
    <tableColumn id="16" xr3:uid="{5E4B02B8-5C26-4EF8-953D-56711B1F39C8}" name="Cross sectional Area " dataDxfId="93"/>
    <tableColumn id="17" xr3:uid="{7AC5DCBC-8500-4B5E-9AA9-2AA3301C0278}" name="Loading Rate  (Mpa/s)" dataDxfId="92"/>
    <tableColumn id="18" xr3:uid="{42B347A2-5D20-4D78-A0FE-887176D095B7}" name="Maximum Load (KN)" dataDxfId="9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3F039D-33DD-4EA4-AD11-E1D6242A3824}" name="Table6" displayName="Table6" ref="Y4:AC13" totalsRowShown="0" headerRowDxfId="90">
  <autoFilter ref="Y4:AC13" xr:uid="{E73F039D-33DD-4EA4-AD11-E1D6242A3824}"/>
  <tableColumns count="5">
    <tableColumn id="1" xr3:uid="{D758733D-C98D-4317-A9F9-C6693F750B53}" name="Failure Type "/>
    <tableColumn id="2" xr3:uid="{31545999-3A40-49CE-B458-1810C20C456E}" name="Faliure Observation "/>
    <tableColumn id="3" xr3:uid="{27BF5A6B-332F-4710-8C03-A5FAB597689E}" name="Compressive Strength Mpa"/>
    <tableColumn id="4" xr3:uid="{24D488CE-74C8-4475-B693-53AA489C8DA6}" name="Target Strength Mpa"/>
    <tableColumn id="5" xr3:uid="{99BE91E9-F4D5-448F-B807-96D3904E50BE}" name="Remarks 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8CA956-EFBF-4A5C-9363-FCD30739BC27}" name="Table134510" displayName="Table134510" ref="A3:Y12" totalsRowShown="0" headerRowDxfId="33" dataDxfId="89">
  <autoFilter ref="A3:Y12" xr:uid="{EE8CA956-EFBF-4A5C-9363-FCD30739BC27}"/>
  <tableColumns count="25">
    <tableColumn id="1" xr3:uid="{BD87AEAC-CEE5-42D1-8339-C629C3D557AE}" name="S.No">
      <calculatedColumnFormula>ROW() - ROW(Table134510[[#Headers],[S.No]])</calculatedColumnFormula>
    </tableColumn>
    <tableColumn id="2" xr3:uid="{C165A9DC-4E2A-4C75-A993-8BE0186B8B7B}" name="Date" dataDxfId="88"/>
    <tableColumn id="4" xr3:uid="{9B128226-5DD0-45C7-B53E-40D3BC26AA9E}" name="Test ID " dataDxfId="87"/>
    <tableColumn id="6" xr3:uid="{EAD4FE19-11DD-4A06-B5A0-DED7ADBAE60C}" name="Mix ID " dataDxfId="86"/>
    <tableColumn id="3" xr3:uid="{359D9EC0-42B5-49C8-A6BA-7777AF5EDAF1}" name="Batch ID " dataDxfId="85"/>
    <tableColumn id="19" xr3:uid="{ACBDCB8C-B758-493A-B028-E1C53A9C4467}" name="Specimen ID " dataDxfId="84"/>
    <tableColumn id="20" xr3:uid="{DC74267C-5081-4B39-B9F8-537AD2B8A1C3}" name="Test Standard " dataDxfId="83"/>
    <tableColumn id="28" xr3:uid="{1BBDDD0B-0984-4785-8E46-918B69994C36}" name="Test Type " dataDxfId="82"/>
    <tableColumn id="21" xr3:uid="{1AF2F458-6037-46E4-81A2-9EAAC9B0B01F}" name="Casting Date " dataDxfId="81"/>
    <tableColumn id="22" xr3:uid="{1069F5A0-B135-4A8E-9533-AAC10BAF6B36}" name="Target Age " dataDxfId="80"/>
    <tableColumn id="23" xr3:uid="{B5CBF3ED-1102-4DE5-9919-3EEAAC9942B9}" name="Actual Age " dataDxfId="79"/>
    <tableColumn id="24" xr3:uid="{1F0B2E05-881A-445C-A46C-2EC18B0325B6}" name="Curing Temperature " dataDxfId="78"/>
    <tableColumn id="25" xr3:uid="{F808C05E-4C07-4568-85EA-8376DC912586}" name="Testing Temperature " dataDxfId="77"/>
    <tableColumn id="26" xr3:uid="{2D8BC2F3-754C-473D-A0A9-A4CE36457E53}" name="Specimen Type" dataDxfId="76"/>
    <tableColumn id="29" xr3:uid="{5555795F-6FB6-4A36-B045-4AAD622D912D}" name="Notched /Unnotched " dataDxfId="75"/>
    <tableColumn id="27" xr3:uid="{E08480F4-D342-4F97-9C2F-D7C31F4A25D5}" name=" Length (mm)" dataDxfId="74"/>
    <tableColumn id="10" xr3:uid="{6AD40F63-5B51-40CE-AC0E-E5C8D6F36B0B}" name=" Width (mm)" dataDxfId="73"/>
    <tableColumn id="11" xr3:uid="{125EB8D4-60B4-403C-8404-123D8E342C68}" name=" Height (mm)" dataDxfId="72"/>
    <tableColumn id="12" xr3:uid="{8A4BE828-B1D1-4931-BB0B-4E5CA7DAD65B}" name="Fibre Type " dataDxfId="71"/>
    <tableColumn id="13" xr3:uid="{D583EF1A-CF37-420F-BCE8-CEFCAE4DDAB1}" name="Fibre Length (mm)" dataDxfId="70"/>
    <tableColumn id="14" xr3:uid="{74F7233F-BA13-4C6D-8B97-F87EADFFABFB}" name="Fibre Volume  (%)" dataDxfId="69"/>
    <tableColumn id="15" xr3:uid="{C77322B9-C6FF-49B9-9DF2-4B70A7DADC66}" name="Notch Depth (mm)" dataDxfId="68"/>
    <tableColumn id="16" xr3:uid="{8897CCD4-9E59-46A2-9E50-CCCDAF21185D}" name="Notch Width (mm)" dataDxfId="67"/>
    <tableColumn id="17" xr3:uid="{3628D4DF-34E6-4652-9E52-39A56B2D63BC}" name="Support Span (mm)" dataDxfId="66"/>
    <tableColumn id="18" xr3:uid="{7B552A1A-4480-4B3C-B774-B72D56417174}" name="Loading Direction" dataDxfId="6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3C0E4E-8C4E-4762-86E0-F37887BEDA1C}" name="Table612" displayName="Table612" ref="Z3:AD12" totalsRowShown="0" headerRowDxfId="32">
  <autoFilter ref="Z3:AD12" xr:uid="{183C0E4E-8C4E-4762-86E0-F37887BEDA1C}"/>
  <tableColumns count="5">
    <tableColumn id="1" xr3:uid="{AE2A8FD0-8D07-4151-BB35-EC316C323778}" name="Loading Rate (mm/min)"/>
    <tableColumn id="2" xr3:uid="{4ED216FC-3FAF-4FF7-8788-C33E93768282}" name="First Crack Load (KN)"/>
    <tableColumn id="3" xr3:uid="{39DCD9FC-E1DD-45C6-AE62-39F85BB24929}" name="First Crack Deflection (mm)"/>
    <tableColumn id="4" xr3:uid="{61B27367-6D3D-4148-8FC4-7E29402088E9}" name="First Crack Stress (Mpa)"/>
    <tableColumn id="5" xr3:uid="{EE944DC7-5C43-41D5-B0BC-C593EB65A268}" name=" 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905D128-5D5D-46B8-A4A5-4526E7B7CAF5}" name="Table12" displayName="Table12" ref="AE3:AM12" totalsRowShown="0" headerRowDxfId="31">
  <autoFilter ref="AE3:AM12" xr:uid="{6905D128-5D5D-46B8-A4A5-4526E7B7CAF5}"/>
  <tableColumns count="9">
    <tableColumn id="1" xr3:uid="{E3603E5F-DA3B-4F0F-828B-8C7CC37AB806}" name="Peak Load (KN)"/>
    <tableColumn id="2" xr3:uid="{C3EE62CB-253F-45BE-9E05-D2E790937015}" name="Peak Deflection (mm)"/>
    <tableColumn id="3" xr3:uid="{AC051342-79F9-4784-B58D-D98AC49C0B8D}" name="Crack Opening at Peak (mm)"/>
    <tableColumn id="4" xr3:uid="{9A0E116A-EC9B-4A0A-A98C-9857B19E5B5D}" name="Flexuarl Strength (Mpa)"/>
    <tableColumn id="5" xr3:uid="{67D4239C-F014-42CD-A6F4-7E413FEBBAE7}" name="Residual Strength (Mpa)"/>
    <tableColumn id="6" xr3:uid="{437283F4-DC32-47F0-966D-23209E87FBC7}" name="Ultimate Deflection (mm)"/>
    <tableColumn id="7" xr3:uid="{045A0146-CBEB-44EB-A124-7F9A111DCDF2}" name="Toughness (j)"/>
    <tableColumn id="8" xr3:uid="{FDED3FB6-F1D6-4C5F-B38C-B10816B73C20}" name="Failure Mode "/>
    <tableColumn id="9" xr3:uid="{845F0A30-D18C-4A20-A3D9-17197A9DA7AD}" name="Remarks 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A2E667-FD9E-482D-AE88-9D69AA77A7A1}" name="Table10" displayName="Table10" ref="C17:I45" totalsRowShown="0" headerRowDxfId="64" headerRowBorderDxfId="63" tableBorderDxfId="62">
  <autoFilter ref="C17:I45" xr:uid="{8EA2E667-FD9E-482D-AE88-9D69AA77A7A1}"/>
  <tableColumns count="7">
    <tableColumn id="1" xr3:uid="{3507A8E5-6C3C-4B3C-8200-173C545B0D75}" name="S.No" dataDxfId="61"/>
    <tableColumn id="2" xr3:uid="{6C20A60E-1AA7-4DCA-91DE-15FEF091EB2F}" name="Lab equipment" dataDxfId="60"/>
    <tableColumn id="3" xr3:uid="{A4BF70EB-6936-444A-9B33-763F7519B912}" name="No's" dataDxfId="59"/>
    <tableColumn id="4" xr3:uid="{95223377-A710-4DAE-9123-8DB2B868C27A}" name="Basic" dataDxfId="58"/>
    <tableColumn id="5" xr3:uid="{7919C25E-D399-47EF-A63F-E4F055AA9931}" name=" " dataDxfId="57"/>
    <tableColumn id="6" xr3:uid="{110A8813-5D1A-4002-B972-CD5FA8AB36F9}" name=" gst(18%) " dataDxfId="56"/>
    <tableColumn id="7" xr3:uid="{1B0C1CC1-E88A-4298-BBD3-BA4D0A4762B9}" name="total" dataDxfId="5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BEB685-C16B-4A87-83E6-712EC0D457EC}" name="Table7" displayName="Table7" ref="B4:R34" totalsRowShown="0" headerRowDxfId="54">
  <autoFilter ref="B4:R34" xr:uid="{75BEB685-C16B-4A87-83E6-712EC0D457EC}"/>
  <tableColumns count="17">
    <tableColumn id="1" xr3:uid="{3F9228EB-C9A7-4684-968D-7AB883470B63}" name="Item Code"/>
    <tableColumn id="2" xr3:uid="{77E815AC-57C8-4256-8125-5DF80120844C}" name="Item Description"/>
    <tableColumn id="3" xr3:uid="{170D8C9C-7D2D-4A23-9DF4-9B32A41C1375}" name="HSN" dataDxfId="53"/>
    <tableColumn id="4" xr3:uid="{09B0B202-CB4F-4A79-85F7-FC86C8DB1AA4}" name="Supplier / Vendor"/>
    <tableColumn id="5" xr3:uid="{F3212E15-A47F-462A-8795-DEA1E89B445F}" name="Delivery Date" dataDxfId="52"/>
    <tableColumn id="6" xr3:uid="{232B29B0-3994-4B41-B1E3-9CBB9B84A6BE}" name="Qty" dataDxfId="51"/>
    <tableColumn id="7" xr3:uid="{7FE98C9A-85F4-43BC-9927-CB4E1AB33940}" name="UOM"/>
    <tableColumn id="8" xr3:uid="{5D26FC45-3B24-4F3E-8CD3-22992F78E587}" name="Rate (₹)"/>
    <tableColumn id="9" xr3:uid="{45C21342-94A4-42BD-A00D-98B3F2C5C538}" name="Tax"/>
    <tableColumn id="10" xr3:uid="{78074407-18B5-4365-B64E-BCF7AB245AF4}" name="Purchase Req."/>
    <tableColumn id="11" xr3:uid="{CB3DFB6B-8C76-42C6-9493-ED3C44B6401B}" name="Line Item"/>
    <tableColumn id="12" xr3:uid="{E7950ED0-18BB-4047-A41B-28220C4193F3}" name="Amount (₹)" dataDxfId="50"/>
    <tableColumn id="13" xr3:uid="{831FE8B9-37C0-4C32-94BB-4B93639CB446}" name="PO No."/>
    <tableColumn id="14" xr3:uid="{8F2B146D-3A95-4B8E-9EB7-BF13CA85CBC8}" name="Received Qty"/>
    <tableColumn id="15" xr3:uid="{FDB2B99B-00C8-4CAB-9DF4-454C5BAB79E7}" name="Pending Qty"/>
    <tableColumn id="16" xr3:uid="{8B5EBCFC-A934-4601-9C85-0561B05484AD}" name="Actual Delivery Date"/>
    <tableColumn id="17" xr3:uid="{2B39D80A-8641-446B-AD4E-9F54EC0369B8}" name="Purchase 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F0FE06-8A4B-49C9-AFC4-80E1C0767BDE}" name="Table8" displayName="Table8" ref="A4:A34" totalsRowShown="0">
  <autoFilter ref="A4:A34" xr:uid="{6FF0FE06-8A4B-49C9-AFC4-80E1C0767BDE}"/>
  <tableColumns count="1">
    <tableColumn id="1" xr3:uid="{4FE76351-8BB7-48FF-8D96-ED777D976A26}" name="S.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7782-87F9-4087-AC2F-A7E89B99C929}">
  <dimension ref="A2:AA45"/>
  <sheetViews>
    <sheetView topLeftCell="A5" zoomScale="69" zoomScaleNormal="101" workbookViewId="0">
      <selection activeCell="F11" sqref="F11"/>
    </sheetView>
  </sheetViews>
  <sheetFormatPr defaultRowHeight="14.5" x14ac:dyDescent="0.35"/>
  <cols>
    <col min="2" max="2" width="12.36328125" customWidth="1"/>
    <col min="3" max="3" width="36.08984375" customWidth="1"/>
    <col min="4" max="6" width="21.81640625" customWidth="1"/>
    <col min="20" max="20" width="11.81640625" customWidth="1"/>
  </cols>
  <sheetData>
    <row r="2" spans="2:21" x14ac:dyDescent="0.35">
      <c r="B2" s="60" t="s">
        <v>261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53"/>
      <c r="U2" s="53"/>
    </row>
    <row r="3" spans="2:21" x14ac:dyDescent="0.3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53"/>
      <c r="U3" s="53"/>
    </row>
    <row r="4" spans="2:21" ht="26" x14ac:dyDescent="0.6">
      <c r="B4" s="62" t="s">
        <v>262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</row>
    <row r="6" spans="2:21" ht="19.5" x14ac:dyDescent="0.45">
      <c r="B6" s="55" t="s">
        <v>267</v>
      </c>
      <c r="C6" s="56"/>
      <c r="D6" s="56"/>
      <c r="F6" s="57" t="s">
        <v>263</v>
      </c>
      <c r="G6" s="58"/>
      <c r="H6" s="58"/>
      <c r="J6" s="57" t="s">
        <v>264</v>
      </c>
      <c r="K6" s="57"/>
      <c r="L6" s="57"/>
      <c r="N6" s="57" t="s">
        <v>265</v>
      </c>
      <c r="O6" s="57"/>
      <c r="P6" s="57"/>
      <c r="R6" s="57" t="s">
        <v>266</v>
      </c>
      <c r="S6" s="57"/>
      <c r="T6" s="57"/>
    </row>
    <row r="7" spans="2:21" x14ac:dyDescent="0.35">
      <c r="B7" s="54">
        <f>SUMPRODUCT(('Materials &amp; Inventory'!D13:D5000&lt;&gt;"")/COUNTIF('Materials &amp; Inventory'!D13:D5000,'Materials &amp; Inventory'!D13:D5000&amp;""))</f>
        <v>5</v>
      </c>
      <c r="C7" s="54"/>
      <c r="D7" s="54"/>
      <c r="F7" s="54">
        <f ca="1">COUNTIF('Casting and Testing Activity'!B28:B5000,TODAY())</f>
        <v>1</v>
      </c>
      <c r="G7" s="54"/>
      <c r="H7" s="54"/>
      <c r="J7" s="54">
        <f ca="1">COUNTIF('Flow Table Test '!B5:B1048576,TODAY())+COUNTIF('Compression Test '!B5:B1048576,TODAY())+COUNTIF('Flexural  Test '!B4:B1048576,TODAY())</f>
        <v>0</v>
      </c>
      <c r="K7" s="54"/>
      <c r="L7" s="54"/>
      <c r="N7" s="54">
        <f>COUNTIF('Materials &amp; Inventory'!O:O,"Critical")</f>
        <v>3</v>
      </c>
      <c r="O7" s="54"/>
      <c r="P7" s="54"/>
      <c r="R7" s="59">
        <f>Budget!D6</f>
        <v>48342719</v>
      </c>
      <c r="S7" s="54"/>
      <c r="T7" s="54"/>
    </row>
    <row r="8" spans="2:21" x14ac:dyDescent="0.35">
      <c r="B8" s="54"/>
      <c r="C8" s="54"/>
      <c r="D8" s="54"/>
      <c r="F8" s="54"/>
      <c r="G8" s="54"/>
      <c r="H8" s="54"/>
      <c r="J8" s="54"/>
      <c r="K8" s="54"/>
      <c r="L8" s="54"/>
      <c r="N8" s="54"/>
      <c r="O8" s="54"/>
      <c r="P8" s="54"/>
      <c r="R8" s="54"/>
      <c r="S8" s="54"/>
      <c r="T8" s="54"/>
    </row>
    <row r="9" spans="2:21" x14ac:dyDescent="0.35">
      <c r="B9" s="54"/>
      <c r="C9" s="54"/>
      <c r="D9" s="54"/>
      <c r="F9" s="54"/>
      <c r="G9" s="54"/>
      <c r="H9" s="54"/>
      <c r="J9" s="54"/>
      <c r="K9" s="54"/>
      <c r="L9" s="54"/>
      <c r="N9" s="54"/>
      <c r="O9" s="54"/>
      <c r="P9" s="54"/>
      <c r="R9" s="54"/>
      <c r="S9" s="54"/>
      <c r="T9" s="54"/>
    </row>
    <row r="10" spans="2:21" x14ac:dyDescent="0.35">
      <c r="B10" s="54"/>
      <c r="C10" s="54"/>
      <c r="D10" s="54"/>
      <c r="F10" s="54"/>
      <c r="G10" s="54"/>
      <c r="H10" s="54"/>
      <c r="J10" s="54"/>
      <c r="K10" s="54"/>
      <c r="L10" s="54"/>
      <c r="N10" s="54"/>
      <c r="O10" s="54"/>
      <c r="P10" s="54"/>
      <c r="R10" s="54"/>
      <c r="S10" s="54"/>
      <c r="T10" s="54"/>
    </row>
    <row r="27" spans="1:27" x14ac:dyDescent="0.35">
      <c r="X27" s="45"/>
      <c r="Y27" s="45"/>
      <c r="Z27" s="45"/>
      <c r="AA27" s="45"/>
    </row>
    <row r="28" spans="1:27" x14ac:dyDescent="0.35">
      <c r="X28" s="4"/>
      <c r="Y28" s="4"/>
      <c r="Z28" s="4"/>
      <c r="AA28" s="4"/>
    </row>
    <row r="29" spans="1:27" x14ac:dyDescent="0.35">
      <c r="A29" s="92"/>
      <c r="B29" s="92"/>
      <c r="C29" s="92"/>
      <c r="D29" s="92"/>
      <c r="E29" s="22"/>
      <c r="F29" s="22"/>
      <c r="G29" s="22"/>
      <c r="H29" s="22"/>
      <c r="I29" s="22"/>
      <c r="J29" s="22"/>
      <c r="X29" s="4"/>
      <c r="Y29" s="4"/>
      <c r="Z29" s="4"/>
      <c r="AA29" s="4"/>
    </row>
    <row r="30" spans="1:27" x14ac:dyDescent="0.35">
      <c r="A30" s="93" t="s">
        <v>301</v>
      </c>
      <c r="B30" s="53"/>
      <c r="C30" s="53"/>
      <c r="D30" s="53"/>
      <c r="E30" s="22"/>
      <c r="F30" s="22"/>
      <c r="G30" s="22"/>
      <c r="H30" s="22"/>
      <c r="I30" s="22"/>
      <c r="J30" s="22"/>
      <c r="X30" s="4"/>
      <c r="Y30" s="4"/>
      <c r="Z30" s="4"/>
      <c r="AA30" s="4"/>
    </row>
    <row r="31" spans="1:27" ht="14.5" customHeight="1" x14ac:dyDescent="0.35">
      <c r="A31" s="53"/>
      <c r="B31" s="53"/>
      <c r="C31" s="53"/>
      <c r="D31" s="53"/>
      <c r="E31" s="22"/>
      <c r="F31" s="22"/>
      <c r="G31" s="22"/>
      <c r="H31" s="22"/>
      <c r="I31" s="22"/>
      <c r="J31" s="22"/>
      <c r="L31" s="48" t="s">
        <v>278</v>
      </c>
      <c r="M31" s="48"/>
      <c r="N31" s="48"/>
      <c r="O31" s="48"/>
      <c r="P31" s="48"/>
      <c r="Q31" s="48"/>
      <c r="R31" s="48"/>
      <c r="S31" s="48"/>
      <c r="T31" s="48"/>
      <c r="X31" s="4"/>
      <c r="Y31" s="4"/>
      <c r="Z31" s="4"/>
      <c r="AA31" s="4"/>
    </row>
    <row r="32" spans="1:27" ht="14.5" customHeight="1" x14ac:dyDescent="0.35">
      <c r="B32" s="22"/>
      <c r="C32" s="22"/>
      <c r="D32" s="22"/>
      <c r="E32" s="22"/>
      <c r="F32" s="22"/>
      <c r="G32" s="22"/>
      <c r="H32" s="22"/>
      <c r="I32" s="22"/>
      <c r="J32" s="22"/>
      <c r="L32" s="48"/>
      <c r="M32" s="48"/>
      <c r="N32" s="48"/>
      <c r="O32" s="48"/>
      <c r="P32" s="48"/>
      <c r="Q32" s="48"/>
      <c r="R32" s="48"/>
      <c r="S32" s="48"/>
      <c r="T32" s="48"/>
    </row>
    <row r="33" spans="1:18" ht="28" customHeight="1" x14ac:dyDescent="0.7">
      <c r="B33" s="83" t="s">
        <v>299</v>
      </c>
      <c r="C33" s="83" t="s">
        <v>300</v>
      </c>
      <c r="D33" s="22"/>
      <c r="E33" s="22"/>
      <c r="F33" s="22"/>
      <c r="G33" s="22"/>
      <c r="I33" s="49" t="s">
        <v>279</v>
      </c>
      <c r="J33" s="49"/>
      <c r="K33" s="49"/>
      <c r="L33" s="49" t="s">
        <v>280</v>
      </c>
      <c r="M33" s="49"/>
      <c r="N33" s="49"/>
      <c r="O33" s="49" t="s">
        <v>281</v>
      </c>
      <c r="P33" s="49"/>
      <c r="Q33" s="49"/>
    </row>
    <row r="34" spans="1:18" ht="18.5" customHeight="1" x14ac:dyDescent="0.7">
      <c r="B34" s="84">
        <v>1</v>
      </c>
      <c r="C34" s="84" t="str">
        <f>IFERROR(INDEX('Materials &amp; Inventory'!$D$13:$D$5000,_xlfn.AGGREGATE(15,6,(ROW('Materials &amp; Inventory'!$D$13:$D$5000)-ROW('Materials &amp; Inventory'!$D$13)+1)/(('Materials &amp; Inventory'!$O$13:$O$5000="Critical")*(COUNTIF($C$33:C33,'Materials &amp; Inventory'!$D$13:$D$5000)=0)),1)),"")</f>
        <v>OPC 53</v>
      </c>
      <c r="D34" s="46"/>
      <c r="E34" s="46"/>
      <c r="F34" s="46"/>
      <c r="G34" s="46"/>
      <c r="I34" s="51">
        <f>Budget!D6</f>
        <v>48342719</v>
      </c>
      <c r="J34" s="51"/>
      <c r="K34" s="51"/>
      <c r="L34" s="51">
        <v>16800000</v>
      </c>
      <c r="M34" s="51"/>
      <c r="N34" s="51"/>
      <c r="O34" s="51">
        <f>I34-L34</f>
        <v>31542719</v>
      </c>
      <c r="P34" s="51"/>
      <c r="Q34" s="51"/>
    </row>
    <row r="35" spans="1:18" ht="23" customHeight="1" x14ac:dyDescent="0.7">
      <c r="B35" s="84">
        <v>2</v>
      </c>
      <c r="C35" s="84" t="str">
        <f>IFERROR(INDEX('Materials &amp; Inventory'!$D$13:$D$5000,_xlfn.AGGREGATE(15,6,(ROW('Materials &amp; Inventory'!$D$13:$D$5000)-ROW('Materials &amp; Inventory'!$D$13)+1)/(('Materials &amp; Inventory'!$O$13:$O$5000="Critical")*(COUNTIF($C$33:C34,'Materials &amp; Inventory'!$D$13:$D$5000)=0)),1)),"")</f>
        <v>Flyash</v>
      </c>
      <c r="D35" s="46"/>
      <c r="E35" s="46"/>
      <c r="F35" s="46"/>
      <c r="G35" s="46"/>
      <c r="I35" s="51"/>
      <c r="J35" s="51"/>
      <c r="K35" s="51"/>
      <c r="L35" s="51"/>
      <c r="M35" s="51"/>
      <c r="N35" s="51"/>
      <c r="O35" s="51"/>
      <c r="P35" s="51"/>
      <c r="Q35" s="51"/>
    </row>
    <row r="36" spans="1:18" ht="21" x14ac:dyDescent="0.5">
      <c r="A36" s="22"/>
      <c r="B36" s="84">
        <v>3</v>
      </c>
      <c r="C36" s="84" t="str">
        <f>IFERROR(INDEX('Materials &amp; Inventory'!$D$13:$D$5000,_xlfn.AGGREGATE(15,6,(ROW('Materials &amp; Inventory'!$D$13:$D$5000)-ROW('Materials &amp; Inventory'!$D$13)+1)/(('Materials &amp; Inventory'!$O$13:$O$5000="Critical")*(COUNTIF($C$33:C35,'Materials &amp; Inventory'!$D$13:$D$5000)=0)),1)),"")</f>
        <v/>
      </c>
      <c r="D36" s="22"/>
      <c r="E36" s="22"/>
      <c r="F36" s="22"/>
      <c r="G36" s="22"/>
    </row>
    <row r="37" spans="1:18" ht="14.5" customHeight="1" x14ac:dyDescent="0.35">
      <c r="A37" s="22"/>
      <c r="B37" s="22"/>
      <c r="C37" s="82" t="str">
        <f>IFERROR(INDEX('Materials &amp; Inventory'!$D$13:$D$5000,_xlfn.AGGREGATE(15,6,(ROW('Materials &amp; Inventory'!$D$13:$D$5000)-ROW('Materials &amp; Inventory'!$D$13)+1)/('Materials &amp; Inventory'!$O$13:$O$5000="Critical"),ROWS($C$33:C36))),"")</f>
        <v/>
      </c>
      <c r="D37" s="82"/>
      <c r="E37" s="82"/>
      <c r="F37" s="82"/>
      <c r="G37" s="22"/>
      <c r="H37" s="22"/>
      <c r="I37" s="22"/>
      <c r="J37" s="22"/>
      <c r="M37" s="52" t="s">
        <v>282</v>
      </c>
      <c r="N37" s="52"/>
      <c r="O37" s="52"/>
      <c r="P37" s="52"/>
      <c r="Q37" s="52"/>
      <c r="R37" s="52"/>
    </row>
    <row r="38" spans="1:18" ht="14.5" customHeight="1" x14ac:dyDescent="0.35">
      <c r="A38" s="22"/>
      <c r="B38" s="22"/>
      <c r="C38" s="82" t="str">
        <f>IFERROR(INDEX('Materials &amp; Inventory'!$D$13:$D$5000,_xlfn.AGGREGATE(15,6,(ROW('Materials &amp; Inventory'!$D$13:$D$5000)-ROW('Materials &amp; Inventory'!$D$13)+1)/('Materials &amp; Inventory'!$O$13:$O$5000="Critical"),ROWS($C$33:C37))),"")</f>
        <v/>
      </c>
      <c r="D38" s="82"/>
      <c r="E38" s="82"/>
      <c r="F38" s="82"/>
      <c r="G38" s="22"/>
      <c r="H38" s="22"/>
      <c r="I38" s="22"/>
      <c r="J38" s="22"/>
      <c r="M38" s="52"/>
      <c r="N38" s="52"/>
      <c r="O38" s="52"/>
      <c r="P38" s="52"/>
      <c r="Q38" s="52"/>
      <c r="R38" s="52"/>
    </row>
    <row r="39" spans="1:18" ht="14.5" customHeight="1" x14ac:dyDescent="0.35">
      <c r="A39" s="22"/>
      <c r="B39" s="22"/>
      <c r="C39" s="82" t="str">
        <f>IFERROR(INDEX('Materials &amp; Inventory'!$D$13:$D$5000,_xlfn.AGGREGATE(15,6,(ROW('Materials &amp; Inventory'!$D$13:$D$5000)-ROW('Materials &amp; Inventory'!$D$13)+1)/('Materials &amp; Inventory'!$O$13:$O$5000="Critical"),ROWS($C$33:C38))),"")</f>
        <v/>
      </c>
      <c r="D39" s="82"/>
      <c r="E39" s="82"/>
      <c r="F39" s="82"/>
      <c r="G39" s="22"/>
      <c r="H39" s="22"/>
      <c r="I39" s="22"/>
      <c r="J39" s="22"/>
      <c r="M39" s="52"/>
      <c r="N39" s="52"/>
      <c r="O39" s="52"/>
      <c r="P39" s="52"/>
      <c r="Q39" s="52"/>
      <c r="R39" s="52"/>
    </row>
    <row r="40" spans="1:18" ht="14.5" customHeight="1" x14ac:dyDescent="0.35">
      <c r="A40" s="22"/>
      <c r="B40" s="22"/>
      <c r="C40" s="82" t="str">
        <f>IFERROR(INDEX('Materials &amp; Inventory'!$D$13:$D$5000,_xlfn.AGGREGATE(15,6,(ROW('Materials &amp; Inventory'!$D$13:$D$5000)-ROW('Materials &amp; Inventory'!$D$13)+1)/('Materials &amp; Inventory'!$O$13:$O$5000="Critical"),ROWS($C$33:C39))),"")</f>
        <v/>
      </c>
      <c r="D40" s="82"/>
      <c r="E40" s="82"/>
      <c r="F40" s="82"/>
      <c r="G40" s="22"/>
      <c r="H40" s="22"/>
      <c r="I40" s="22"/>
      <c r="J40" s="22"/>
      <c r="M40" s="50">
        <f>L34/I34</f>
        <v>0.34751872355379926</v>
      </c>
      <c r="N40" s="50"/>
      <c r="O40" s="50"/>
      <c r="P40" s="50"/>
      <c r="Q40" s="50"/>
      <c r="R40" s="50"/>
    </row>
    <row r="41" spans="1:18" ht="14.5" customHeight="1" x14ac:dyDescent="0.35">
      <c r="C41" s="82" t="str">
        <f>IFERROR(INDEX('Materials &amp; Inventory'!$D$13:$D$5000,_xlfn.AGGREGATE(15,6,(ROW('Materials &amp; Inventory'!$D$13:$D$5000)-ROW('Materials &amp; Inventory'!$D$13)+1)/('Materials &amp; Inventory'!$O$13:$O$5000="Critical"),ROWS($C$33:C40))),"")</f>
        <v/>
      </c>
      <c r="D41" s="82"/>
      <c r="E41" s="82"/>
      <c r="F41" s="82"/>
      <c r="M41" s="50"/>
      <c r="N41" s="50"/>
      <c r="O41" s="50"/>
      <c r="P41" s="50"/>
      <c r="Q41" s="50"/>
      <c r="R41" s="50"/>
    </row>
    <row r="42" spans="1:18" x14ac:dyDescent="0.35">
      <c r="B42" s="4"/>
      <c r="C42" s="58" t="str">
        <f>IFERROR(INDEX('Materials &amp; Inventory'!$D$13:$D$5000,_xlfn.AGGREGATE(15,6,(ROW('Materials &amp; Inventory'!$D$13:$D$5000)-ROW('Materials &amp; Inventory'!$D$13)+1)/('Materials &amp; Inventory'!$O$13:$O$5000="Critical"),ROWS($C$33:C40))),"")</f>
        <v/>
      </c>
      <c r="D42" s="58"/>
      <c r="E42" s="58"/>
      <c r="F42" s="58"/>
    </row>
    <row r="43" spans="1:18" x14ac:dyDescent="0.35">
      <c r="B43" s="4"/>
      <c r="C43" s="4"/>
      <c r="D43" s="4"/>
      <c r="E43" s="4"/>
      <c r="F43" s="4"/>
    </row>
    <row r="44" spans="1:18" x14ac:dyDescent="0.35">
      <c r="B44" s="4"/>
      <c r="C44" s="4"/>
      <c r="D44" s="4"/>
      <c r="E44" s="4"/>
      <c r="F44" s="4"/>
    </row>
    <row r="45" spans="1:18" x14ac:dyDescent="0.35">
      <c r="B45" s="4"/>
      <c r="C45" s="4"/>
      <c r="D45" s="4"/>
      <c r="E45" s="4"/>
      <c r="F45" s="4"/>
    </row>
  </sheetData>
  <mergeCells count="29">
    <mergeCell ref="C40:F40"/>
    <mergeCell ref="C41:F41"/>
    <mergeCell ref="C42:F42"/>
    <mergeCell ref="C37:F37"/>
    <mergeCell ref="C38:F38"/>
    <mergeCell ref="C39:F39"/>
    <mergeCell ref="T2:U3"/>
    <mergeCell ref="N7:P10"/>
    <mergeCell ref="B6:D6"/>
    <mergeCell ref="F6:H6"/>
    <mergeCell ref="J6:L6"/>
    <mergeCell ref="N6:P6"/>
    <mergeCell ref="R7:T10"/>
    <mergeCell ref="R6:T6"/>
    <mergeCell ref="B2:S3"/>
    <mergeCell ref="B4:S4"/>
    <mergeCell ref="B7:D10"/>
    <mergeCell ref="F7:H10"/>
    <mergeCell ref="J7:L10"/>
    <mergeCell ref="M40:R41"/>
    <mergeCell ref="I34:K35"/>
    <mergeCell ref="L34:N35"/>
    <mergeCell ref="O34:Q35"/>
    <mergeCell ref="M37:R39"/>
    <mergeCell ref="I33:K33"/>
    <mergeCell ref="L33:N33"/>
    <mergeCell ref="O33:Q33"/>
    <mergeCell ref="L31:T32"/>
    <mergeCell ref="A30:D3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E96F-F14B-404A-8D00-B8ABEAA6C1F4}">
  <dimension ref="B11:I16"/>
  <sheetViews>
    <sheetView topLeftCell="E2" zoomScale="105" workbookViewId="0">
      <selection activeCell="S17" sqref="S17"/>
    </sheetView>
  </sheetViews>
  <sheetFormatPr defaultRowHeight="14.5" x14ac:dyDescent="0.35"/>
  <cols>
    <col min="5" max="5" width="17.1796875" customWidth="1"/>
    <col min="6" max="6" width="16" customWidth="1"/>
  </cols>
  <sheetData>
    <row r="11" spans="2:9" x14ac:dyDescent="0.35">
      <c r="I11" s="44">
        <f>Dashboard!L34/Dashboard!I34</f>
        <v>0.34751872355379926</v>
      </c>
    </row>
    <row r="12" spans="2:9" x14ac:dyDescent="0.35">
      <c r="I12" s="44">
        <f>1-Dashboard!M40</f>
        <v>0.65248127644620069</v>
      </c>
    </row>
    <row r="13" spans="2:9" x14ac:dyDescent="0.35">
      <c r="B13" t="s">
        <v>268</v>
      </c>
      <c r="C13" t="s">
        <v>272</v>
      </c>
      <c r="E13" t="s">
        <v>273</v>
      </c>
      <c r="F13" t="s">
        <v>276</v>
      </c>
    </row>
    <row r="14" spans="2:9" x14ac:dyDescent="0.35">
      <c r="B14" t="s">
        <v>269</v>
      </c>
      <c r="C14">
        <f>COUNTIF('Materials &amp; Inventory'!O13:O1048576,"Adequate")</f>
        <v>6</v>
      </c>
      <c r="E14" t="s">
        <v>274</v>
      </c>
      <c r="F14">
        <f>COUNTA('Compression Test '!B5:B1048576)</f>
        <v>5</v>
      </c>
    </row>
    <row r="15" spans="2:9" x14ac:dyDescent="0.35">
      <c r="B15" t="s">
        <v>270</v>
      </c>
      <c r="C15">
        <f>COUNTIF('Materials &amp; Inventory'!O13:O1048576,"Low")</f>
        <v>0</v>
      </c>
      <c r="E15" t="s">
        <v>277</v>
      </c>
      <c r="F15">
        <f>COUNTA('Flexural  Test '!B4:B1048576)</f>
        <v>5</v>
      </c>
    </row>
    <row r="16" spans="2:9" x14ac:dyDescent="0.35">
      <c r="B16" t="s">
        <v>271</v>
      </c>
      <c r="C16">
        <f>COUNTIF('Materials &amp; Inventory'!O13:O1048576,"Critical")</f>
        <v>3</v>
      </c>
      <c r="E16" t="s">
        <v>275</v>
      </c>
      <c r="F16">
        <f>COUNTA('Flow Table Test '!B5:B1048576)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A98F-0F9C-4CE2-90DD-8E09F6970EC4}">
  <dimension ref="A1:W29"/>
  <sheetViews>
    <sheetView topLeftCell="B1" zoomScale="85" zoomScaleNormal="55" workbookViewId="0">
      <selection activeCell="U21" sqref="U21"/>
    </sheetView>
  </sheetViews>
  <sheetFormatPr defaultRowHeight="14.5" x14ac:dyDescent="0.35"/>
  <cols>
    <col min="1" max="1" width="8.54296875" customWidth="1"/>
    <col min="2" max="2" width="14.453125" customWidth="1"/>
    <col min="3" max="3" width="14.54296875" customWidth="1"/>
    <col min="4" max="4" width="10.1796875" customWidth="1"/>
    <col min="5" max="5" width="10.26953125" customWidth="1"/>
    <col min="6" max="6" width="9.54296875" customWidth="1"/>
    <col min="7" max="7" width="6.54296875" customWidth="1"/>
    <col min="8" max="8" width="16.7265625" customWidth="1"/>
    <col min="9" max="9" width="10.1796875" customWidth="1"/>
    <col min="10" max="10" width="11.7265625" customWidth="1"/>
    <col min="11" max="11" width="13.7265625" customWidth="1"/>
    <col min="12" max="12" width="15.81640625" customWidth="1"/>
    <col min="13" max="13" width="15.453125" customWidth="1"/>
    <col min="14" max="14" width="18.81640625" customWidth="1"/>
    <col min="15" max="15" width="16.453125" customWidth="1"/>
    <col min="16" max="16" width="18.453125" customWidth="1"/>
    <col min="17" max="17" width="17.1796875" customWidth="1"/>
    <col min="18" max="18" width="10.1796875" customWidth="1"/>
  </cols>
  <sheetData>
    <row r="1" spans="1:23" x14ac:dyDescent="0.3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 spans="1:23" x14ac:dyDescent="0.3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1:23" x14ac:dyDescent="0.3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6" spans="1:23" x14ac:dyDescent="0.35">
      <c r="L6" s="2"/>
      <c r="M6" s="2"/>
      <c r="N6" s="2"/>
      <c r="O6" s="2"/>
    </row>
    <row r="7" spans="1:23" x14ac:dyDescent="0.35">
      <c r="B7" s="64">
        <f>SUMPRODUCT(('Materials &amp; Inventory'!D13:D5003&lt;&gt;"")/COUNTIF('Materials &amp; Inventory'!D13:D5003,'Materials &amp; Inventory'!D13:D5003&amp;""))</f>
        <v>5</v>
      </c>
      <c r="C7" s="64"/>
      <c r="E7" s="64">
        <f>COUNTIF(O13:O1003,"Low")+COUNTIF(O13:O1003,"Critical")</f>
        <v>3</v>
      </c>
      <c r="F7" s="64"/>
      <c r="G7" s="64"/>
      <c r="I7" s="64">
        <f>COUNTIF(P7:P1003,"Yes")</f>
        <v>3</v>
      </c>
      <c r="J7" s="64"/>
      <c r="L7" s="65">
        <f>COUNTIF(Q12:Q1003,"Urgent")</f>
        <v>3</v>
      </c>
      <c r="M7" s="65"/>
      <c r="N7" s="1"/>
      <c r="O7" s="1"/>
    </row>
    <row r="8" spans="1:23" x14ac:dyDescent="0.35">
      <c r="B8" s="64"/>
      <c r="C8" s="64"/>
      <c r="E8" s="64"/>
      <c r="F8" s="64"/>
      <c r="G8" s="64"/>
      <c r="I8" s="64"/>
      <c r="J8" s="64"/>
      <c r="L8" s="65"/>
      <c r="M8" s="65"/>
    </row>
    <row r="9" spans="1:23" x14ac:dyDescent="0.35">
      <c r="B9" s="64"/>
      <c r="C9" s="64"/>
      <c r="E9" s="64"/>
      <c r="F9" s="64"/>
      <c r="G9" s="64"/>
      <c r="I9" s="64"/>
      <c r="J9" s="64"/>
      <c r="L9" s="65"/>
      <c r="M9" s="65"/>
    </row>
    <row r="10" spans="1:23" x14ac:dyDescent="0.35">
      <c r="U10" s="63">
        <f>COUNTA(Table1[Category])</f>
        <v>8</v>
      </c>
      <c r="V10" s="63"/>
      <c r="W10" s="63"/>
    </row>
    <row r="11" spans="1:23" x14ac:dyDescent="0.35">
      <c r="U11" s="63"/>
      <c r="V11" s="63"/>
      <c r="W11" s="63"/>
    </row>
    <row r="12" spans="1:23" x14ac:dyDescent="0.35">
      <c r="A12" s="6" t="s">
        <v>1</v>
      </c>
      <c r="B12" s="5" t="s">
        <v>2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  <c r="I12" s="5" t="s">
        <v>9</v>
      </c>
      <c r="J12" s="5" t="s">
        <v>10</v>
      </c>
      <c r="K12" s="5" t="s">
        <v>11</v>
      </c>
      <c r="L12" s="5" t="s">
        <v>12</v>
      </c>
      <c r="M12" s="5" t="s">
        <v>13</v>
      </c>
      <c r="N12" s="5" t="s">
        <v>14</v>
      </c>
      <c r="O12" s="5" t="s">
        <v>15</v>
      </c>
      <c r="P12" s="5" t="s">
        <v>16</v>
      </c>
      <c r="Q12" s="5" t="s">
        <v>17</v>
      </c>
      <c r="R12" s="5" t="s">
        <v>18</v>
      </c>
      <c r="U12" s="63"/>
      <c r="V12" s="63"/>
      <c r="W12" s="63"/>
    </row>
    <row r="13" spans="1:23" ht="29" x14ac:dyDescent="0.35">
      <c r="A13">
        <v>1</v>
      </c>
      <c r="B13" s="3">
        <v>46266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1">
        <v>100</v>
      </c>
      <c r="I13" s="1">
        <v>200</v>
      </c>
      <c r="J13" s="1">
        <v>150</v>
      </c>
      <c r="K13" s="1">
        <f t="shared" ref="K13:K18" si="0">(H13+I13)-J13</f>
        <v>150</v>
      </c>
      <c r="L13" s="1">
        <v>200</v>
      </c>
      <c r="M13" s="1">
        <v>500</v>
      </c>
      <c r="N13" s="1">
        <f t="shared" ref="N13:N18" si="1">MAX(0,M13-K13)</f>
        <v>350</v>
      </c>
      <c r="O13" s="4" t="str">
        <f>IF(K13&lt;L13,"Critical",IF(Table1[[#This Row],[Closing Stock]]&lt;Table1[[#This Row],[Required Stock]],"Low","Adequate"))</f>
        <v>Critical</v>
      </c>
      <c r="P13" s="4" t="str">
        <f t="shared" ref="P13:P18" si="2">IF(K13&lt;M13,"Yes","No")</f>
        <v>Yes</v>
      </c>
      <c r="Q13" s="4" t="str">
        <f t="shared" ref="Q13:Q18" si="3">IF(K13&lt;L13,"Urgent",IF(K13&lt;M13,"Normal","-"))</f>
        <v>Urgent</v>
      </c>
      <c r="R13" s="4" t="s">
        <v>24</v>
      </c>
      <c r="U13" s="63"/>
      <c r="V13" s="63"/>
      <c r="W13" s="63"/>
    </row>
    <row r="14" spans="1:23" ht="29" x14ac:dyDescent="0.35">
      <c r="A14">
        <v>2</v>
      </c>
      <c r="B14" s="3">
        <v>46266</v>
      </c>
      <c r="C14" s="4" t="s">
        <v>25</v>
      </c>
      <c r="D14" s="4" t="s">
        <v>26</v>
      </c>
      <c r="E14" s="4" t="s">
        <v>27</v>
      </c>
      <c r="F14" s="4" t="s">
        <v>22</v>
      </c>
      <c r="G14" s="4" t="s">
        <v>23</v>
      </c>
      <c r="H14" s="1">
        <v>100</v>
      </c>
      <c r="I14" s="1">
        <v>0</v>
      </c>
      <c r="J14" s="1">
        <v>180</v>
      </c>
      <c r="K14" s="1">
        <f>(H14+I14)-J14</f>
        <v>-80</v>
      </c>
      <c r="L14" s="1">
        <v>200</v>
      </c>
      <c r="M14" s="1">
        <v>500</v>
      </c>
      <c r="N14" s="1">
        <f t="shared" si="1"/>
        <v>580</v>
      </c>
      <c r="O14" s="4" t="str">
        <f>IF(K14&lt;L14,"Critical",IF(Table1[[#This Row],[Closing Stock]]&lt;Table1[[#This Row],[Required Stock]],"Low","Adequate"))</f>
        <v>Critical</v>
      </c>
      <c r="P14" s="4" t="str">
        <f t="shared" si="2"/>
        <v>Yes</v>
      </c>
      <c r="Q14" s="4" t="str">
        <f t="shared" si="3"/>
        <v>Urgent</v>
      </c>
      <c r="R14" s="4" t="s">
        <v>28</v>
      </c>
    </row>
    <row r="15" spans="1:23" ht="29" x14ac:dyDescent="0.35">
      <c r="A15">
        <v>3</v>
      </c>
      <c r="B15" s="3">
        <v>46266</v>
      </c>
      <c r="C15" s="4" t="s">
        <v>29</v>
      </c>
      <c r="D15" s="4" t="s">
        <v>30</v>
      </c>
      <c r="E15" s="4" t="s">
        <v>27</v>
      </c>
      <c r="F15" s="4" t="s">
        <v>22</v>
      </c>
      <c r="G15" s="4" t="s">
        <v>23</v>
      </c>
      <c r="H15" s="1">
        <v>370</v>
      </c>
      <c r="I15" s="1">
        <v>300</v>
      </c>
      <c r="J15" s="1">
        <v>100</v>
      </c>
      <c r="K15" s="1">
        <f t="shared" si="0"/>
        <v>570</v>
      </c>
      <c r="L15" s="1">
        <v>200</v>
      </c>
      <c r="M15" s="1">
        <v>500</v>
      </c>
      <c r="N15" s="1">
        <f t="shared" si="1"/>
        <v>0</v>
      </c>
      <c r="O15" s="4" t="str">
        <f>IF(K15&lt;L15,"Critical",IF(Table1[[#This Row],[Closing Stock]]&lt;Table1[[#This Row],[Required Stock]],"Low","Adequate"))</f>
        <v>Adequate</v>
      </c>
      <c r="P15" s="4" t="str">
        <f t="shared" si="2"/>
        <v>No</v>
      </c>
      <c r="Q15" s="4" t="str">
        <f t="shared" si="3"/>
        <v>-</v>
      </c>
      <c r="R15" s="4" t="s">
        <v>24</v>
      </c>
    </row>
    <row r="16" spans="1:23" ht="29" x14ac:dyDescent="0.35">
      <c r="A16">
        <v>4</v>
      </c>
      <c r="B16" s="3">
        <v>46266</v>
      </c>
      <c r="C16" s="4" t="s">
        <v>31</v>
      </c>
      <c r="D16" s="4" t="s">
        <v>32</v>
      </c>
      <c r="E16" s="4" t="s">
        <v>33</v>
      </c>
      <c r="F16" s="4"/>
      <c r="G16" s="4" t="s">
        <v>23</v>
      </c>
      <c r="H16" s="1"/>
      <c r="I16" s="1"/>
      <c r="J16" s="1"/>
      <c r="K16" s="1">
        <f t="shared" si="0"/>
        <v>0</v>
      </c>
      <c r="L16" s="1"/>
      <c r="M16" s="1"/>
      <c r="N16" s="1">
        <f t="shared" si="1"/>
        <v>0</v>
      </c>
      <c r="O16" s="4" t="str">
        <f>IF(K16&lt;L16,"Critical",IF(Table1[[#This Row],[Closing Stock]]&lt;Table1[[#This Row],[Required Stock]],"Low","Adequate"))</f>
        <v>Adequate</v>
      </c>
      <c r="P16" s="4" t="str">
        <f t="shared" si="2"/>
        <v>No</v>
      </c>
      <c r="Q16" s="4" t="str">
        <f t="shared" si="3"/>
        <v>-</v>
      </c>
      <c r="R16" s="4"/>
    </row>
    <row r="17" spans="1:18" ht="29" x14ac:dyDescent="0.35">
      <c r="A17">
        <v>5</v>
      </c>
      <c r="B17" s="3">
        <v>46266</v>
      </c>
      <c r="C17" s="4" t="s">
        <v>34</v>
      </c>
      <c r="D17" s="4" t="s">
        <v>35</v>
      </c>
      <c r="E17" s="4"/>
      <c r="F17" s="4"/>
      <c r="G17" s="4" t="s">
        <v>23</v>
      </c>
      <c r="H17" s="1"/>
      <c r="I17" s="1"/>
      <c r="J17" s="1"/>
      <c r="K17" s="1">
        <f t="shared" si="0"/>
        <v>0</v>
      </c>
      <c r="L17" s="1"/>
      <c r="M17" s="1"/>
      <c r="N17" s="1">
        <f t="shared" si="1"/>
        <v>0</v>
      </c>
      <c r="O17" s="4" t="str">
        <f>IF(K17&lt;L17,"Critical",IF(Table1[[#This Row],[Closing Stock]]&lt;Table1[[#This Row],[Required Stock]],"Low","Adequate"))</f>
        <v>Adequate</v>
      </c>
      <c r="P17" s="4" t="str">
        <f t="shared" si="2"/>
        <v>No</v>
      </c>
      <c r="Q17" s="4" t="str">
        <f t="shared" si="3"/>
        <v>-</v>
      </c>
      <c r="R17" s="4"/>
    </row>
    <row r="18" spans="1:18" x14ac:dyDescent="0.35">
      <c r="A18">
        <v>6</v>
      </c>
      <c r="B18" s="3">
        <v>46267</v>
      </c>
      <c r="C18" s="4"/>
      <c r="D18" s="4" t="s">
        <v>20</v>
      </c>
      <c r="E18" s="4" t="s">
        <v>21</v>
      </c>
      <c r="F18" s="4"/>
      <c r="G18" s="4" t="s">
        <v>23</v>
      </c>
      <c r="H18" s="1">
        <f>IFERROR(SUMIFS(Table1[Closing Stock],Table1[Material],Table1[[#This Row],[Material]],Table1[Date],Table1[[#This Row],[Date]]-1),"")</f>
        <v>150</v>
      </c>
      <c r="I18" s="1"/>
      <c r="J18" s="1"/>
      <c r="K18" s="1">
        <f t="shared" si="0"/>
        <v>150</v>
      </c>
      <c r="L18" s="1"/>
      <c r="M18" s="1"/>
      <c r="N18" s="1">
        <f t="shared" si="1"/>
        <v>0</v>
      </c>
      <c r="O18" s="4" t="str">
        <f>IF(K18&lt;L18,"Critical",IF(Table1[[#This Row],[Closing Stock]]&lt;Table1[[#This Row],[Required Stock]],"Low","Adequate"))</f>
        <v>Adequate</v>
      </c>
      <c r="P18" s="4" t="str">
        <f t="shared" si="2"/>
        <v>No</v>
      </c>
      <c r="Q18" s="4" t="str">
        <f t="shared" si="3"/>
        <v>-</v>
      </c>
      <c r="R18" s="4"/>
    </row>
    <row r="19" spans="1:18" x14ac:dyDescent="0.35">
      <c r="B19" s="3">
        <v>46267</v>
      </c>
      <c r="C19" s="4"/>
      <c r="D19" s="4" t="s">
        <v>26</v>
      </c>
      <c r="E19" s="4" t="s">
        <v>27</v>
      </c>
      <c r="F19" s="4"/>
      <c r="G19" s="4" t="s">
        <v>23</v>
      </c>
      <c r="H19" s="1">
        <f>IFERROR(SUMIFS(Table1[Closing Stock],Table1[Material],Table1[[#This Row],[Material]],Table1[Date],Table1[[#This Row],[Date]]-1),"")</f>
        <v>-80</v>
      </c>
      <c r="I19" s="1"/>
      <c r="J19" s="1"/>
      <c r="K19" s="1">
        <f t="shared" ref="K19:K21" si="4">(H19+I19)-J19</f>
        <v>-80</v>
      </c>
      <c r="L19" s="1"/>
      <c r="M19" s="1"/>
      <c r="N19" s="1">
        <f t="shared" ref="N19:N21" si="5">MAX(0,M19-K19)</f>
        <v>80</v>
      </c>
      <c r="O19" s="4" t="str">
        <f>IF(K19&lt;L19,"Critical",IF(Table1[[#This Row],[Closing Stock]]&lt;Table1[[#This Row],[Required Stock]],"Low","Adequate"))</f>
        <v>Critical</v>
      </c>
      <c r="P19" s="4" t="str">
        <f t="shared" ref="P19:P21" si="6">IF(K19&lt;M19,"Yes","No")</f>
        <v>Yes</v>
      </c>
      <c r="Q19" s="4" t="str">
        <f t="shared" ref="Q19:Q21" si="7">IF(K19&lt;L19,"Urgent",IF(K19&lt;M19,"Normal","-"))</f>
        <v>Urgent</v>
      </c>
      <c r="R19" s="4"/>
    </row>
    <row r="20" spans="1:18" x14ac:dyDescent="0.35">
      <c r="B20" s="3">
        <v>46267</v>
      </c>
      <c r="C20" s="4"/>
      <c r="D20" s="4" t="s">
        <v>30</v>
      </c>
      <c r="E20" s="4" t="s">
        <v>27</v>
      </c>
      <c r="F20" s="4"/>
      <c r="G20" s="4" t="s">
        <v>23</v>
      </c>
      <c r="H20" s="1">
        <f>IFERROR(SUMIFS(Table1[Closing Stock],Table1[Material],Table1[[#This Row],[Material]],Table1[Date],Table1[[#This Row],[Date]]-1),"")</f>
        <v>570</v>
      </c>
      <c r="I20" s="1"/>
      <c r="J20" s="1"/>
      <c r="K20" s="1">
        <f t="shared" si="4"/>
        <v>570</v>
      </c>
      <c r="L20" s="1"/>
      <c r="M20" s="1"/>
      <c r="N20" s="1">
        <f t="shared" si="5"/>
        <v>0</v>
      </c>
      <c r="O20" s="4" t="str">
        <f>IF(K20&lt;L20,"Critical",IF(Table1[[#This Row],[Closing Stock]]&lt;Table1[[#This Row],[Required Stock]],"Low","Adequate"))</f>
        <v>Adequate</v>
      </c>
      <c r="P20" s="4" t="str">
        <f t="shared" si="6"/>
        <v>No</v>
      </c>
      <c r="Q20" s="4" t="str">
        <f t="shared" si="7"/>
        <v>-</v>
      </c>
      <c r="R20" s="4"/>
    </row>
    <row r="21" spans="1:18" ht="29" x14ac:dyDescent="0.35">
      <c r="B21" s="3">
        <v>46267</v>
      </c>
      <c r="C21" s="4"/>
      <c r="D21" s="4" t="s">
        <v>32</v>
      </c>
      <c r="E21" s="4" t="s">
        <v>33</v>
      </c>
      <c r="F21" s="4"/>
      <c r="G21" s="4" t="s">
        <v>23</v>
      </c>
      <c r="H21" s="1">
        <f>IFERROR(SUMIFS(Table1[Closing Stock],Table1[Material],Table1[[#This Row],[Material]],Table1[Date],Table1[[#This Row],[Date]]-1),"")</f>
        <v>0</v>
      </c>
      <c r="I21" s="1"/>
      <c r="J21" s="1"/>
      <c r="K21" s="1">
        <f t="shared" si="4"/>
        <v>0</v>
      </c>
      <c r="L21" s="1"/>
      <c r="M21" s="1"/>
      <c r="N21" s="1">
        <f t="shared" si="5"/>
        <v>0</v>
      </c>
      <c r="O21" s="4" t="str">
        <f>IF(K21&lt;L21,"Critical",IF(Table1[[#This Row],[Closing Stock]]&lt;Table1[[#This Row],[Required Stock]],"Low","Adequate"))</f>
        <v>Adequate</v>
      </c>
      <c r="P21" s="4" t="str">
        <f t="shared" si="6"/>
        <v>No</v>
      </c>
      <c r="Q21" s="4" t="str">
        <f t="shared" si="7"/>
        <v>-</v>
      </c>
      <c r="R21" s="4"/>
    </row>
    <row r="29" spans="1:18" x14ac:dyDescent="0.35">
      <c r="B29">
        <f ca="1">B29:B30</f>
        <v>0</v>
      </c>
    </row>
  </sheetData>
  <mergeCells count="6">
    <mergeCell ref="A1:S3"/>
    <mergeCell ref="U10:W13"/>
    <mergeCell ref="B7:C9"/>
    <mergeCell ref="E7:G9"/>
    <mergeCell ref="I7:J9"/>
    <mergeCell ref="L7:M9"/>
  </mergeCells>
  <conditionalFormatting sqref="O12:O21">
    <cfRule type="containsText" dxfId="29" priority="4" operator="containsText" text="Critical">
      <formula>NOT(ISERROR(SEARCH("Critical",O12)))</formula>
    </cfRule>
    <cfRule type="containsText" dxfId="28" priority="5" operator="containsText" text="Low">
      <formula>NOT(ISERROR(SEARCH("Low",O12)))</formula>
    </cfRule>
    <cfRule type="containsText" dxfId="27" priority="6" operator="containsText" text="Adequate ">
      <formula>NOT(ISERROR(SEARCH("Adequate ",O12)))</formula>
    </cfRule>
  </conditionalFormatting>
  <conditionalFormatting sqref="O13:O21">
    <cfRule type="containsText" dxfId="26" priority="1" operator="containsText" text="Critical">
      <formula>NOT(ISERROR(SEARCH("Critical",O13)))</formula>
    </cfRule>
    <cfRule type="containsText" dxfId="25" priority="2" operator="containsText" text="Low">
      <formula>NOT(ISERROR(SEARCH("Low",O13)))</formula>
    </cfRule>
    <cfRule type="containsText" dxfId="24" priority="3" operator="containsText" text="Adequate">
      <formula>NOT(ISERROR(SEARCH("Adequate",O13)))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00FD-033D-4EBD-BCEF-214F744AEC94}">
  <dimension ref="A1:T14"/>
  <sheetViews>
    <sheetView tabSelected="1" zoomScale="89" workbookViewId="0">
      <selection activeCell="B1" sqref="B1:T3"/>
    </sheetView>
  </sheetViews>
  <sheetFormatPr defaultRowHeight="14.5" x14ac:dyDescent="0.35"/>
  <cols>
    <col min="2" max="2" width="12.81640625" customWidth="1"/>
    <col min="3" max="3" width="17.1796875" customWidth="1"/>
    <col min="4" max="4" width="15.26953125" customWidth="1"/>
    <col min="5" max="5" width="17" customWidth="1"/>
    <col min="6" max="6" width="8.7265625" customWidth="1"/>
    <col min="7" max="7" width="13.7265625" customWidth="1"/>
    <col min="8" max="8" width="10.26953125" customWidth="1"/>
    <col min="9" max="9" width="10.7265625" customWidth="1"/>
    <col min="10" max="10" width="13.453125" customWidth="1"/>
    <col min="11" max="11" width="13" customWidth="1"/>
    <col min="12" max="12" width="11.453125" customWidth="1"/>
    <col min="13" max="13" width="14" customWidth="1"/>
    <col min="14" max="14" width="11.453125" customWidth="1"/>
    <col min="15" max="15" width="12.7265625" customWidth="1"/>
    <col min="16" max="16" width="12.81640625" customWidth="1"/>
    <col min="17" max="17" width="13.1796875" customWidth="1"/>
    <col min="18" max="18" width="22" customWidth="1"/>
  </cols>
  <sheetData>
    <row r="1" spans="1:20" x14ac:dyDescent="0.35">
      <c r="B1" s="77" t="s">
        <v>294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x14ac:dyDescent="0.3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</row>
    <row r="3" spans="1:20" x14ac:dyDescent="0.3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</row>
    <row r="5" spans="1:20" ht="29" x14ac:dyDescent="0.35">
      <c r="A5" s="6" t="s">
        <v>1</v>
      </c>
      <c r="B5" s="5" t="s">
        <v>2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18</v>
      </c>
      <c r="P5" s="5" t="s">
        <v>48</v>
      </c>
      <c r="Q5" s="5" t="s">
        <v>49</v>
      </c>
      <c r="R5" s="5" t="s">
        <v>50</v>
      </c>
    </row>
    <row r="6" spans="1:20" ht="18.5" customHeight="1" x14ac:dyDescent="0.35">
      <c r="A6">
        <f>ROW() - ROW(Table13[[#Headers],[S.No]])</f>
        <v>1</v>
      </c>
      <c r="B6" s="3"/>
      <c r="C6" s="4" t="s">
        <v>283</v>
      </c>
      <c r="D6" s="4"/>
      <c r="E6" s="4"/>
      <c r="F6" s="4"/>
      <c r="G6" s="4"/>
      <c r="H6" s="1"/>
      <c r="I6" s="1"/>
      <c r="J6" s="1"/>
      <c r="K6" s="1"/>
      <c r="L6" s="1"/>
      <c r="M6" s="1"/>
      <c r="N6" s="1"/>
      <c r="O6" s="4"/>
      <c r="P6" s="4"/>
      <c r="Q6" s="4"/>
      <c r="R6" s="4"/>
    </row>
    <row r="7" spans="1:20" x14ac:dyDescent="0.35">
      <c r="A7">
        <f>ROW() - ROW(Table13[[#Headers],[S.No]])</f>
        <v>2</v>
      </c>
      <c r="B7" s="3"/>
      <c r="C7" s="4" t="s">
        <v>284</v>
      </c>
      <c r="D7" s="4"/>
      <c r="E7" s="4"/>
      <c r="F7" s="4"/>
      <c r="G7" s="4"/>
      <c r="H7" s="1"/>
      <c r="I7" s="1"/>
      <c r="J7" s="1"/>
      <c r="K7" s="1"/>
      <c r="L7" s="1"/>
      <c r="M7" s="1"/>
      <c r="N7" s="1"/>
      <c r="O7" s="4"/>
      <c r="P7" s="4"/>
      <c r="Q7" s="4"/>
      <c r="R7" s="4"/>
    </row>
    <row r="8" spans="1:20" x14ac:dyDescent="0.35">
      <c r="A8">
        <f>ROW() - ROW(Table13[[#Headers],[S.No]])</f>
        <v>3</v>
      </c>
      <c r="B8" s="3"/>
      <c r="C8" s="4" t="s">
        <v>286</v>
      </c>
      <c r="D8" s="4"/>
      <c r="E8" s="4"/>
      <c r="F8" s="4"/>
      <c r="G8" s="4"/>
      <c r="H8" s="1"/>
      <c r="I8" s="1"/>
      <c r="J8" s="1"/>
      <c r="K8" s="1"/>
      <c r="L8" s="1"/>
      <c r="M8" s="1"/>
      <c r="N8" s="1"/>
      <c r="O8" s="4"/>
      <c r="P8" s="4"/>
      <c r="Q8" s="4"/>
      <c r="R8" s="4"/>
    </row>
    <row r="9" spans="1:20" x14ac:dyDescent="0.35">
      <c r="A9">
        <f>ROW() - ROW(Table13[[#Headers],[S.No]])</f>
        <v>4</v>
      </c>
      <c r="B9" s="3"/>
      <c r="C9" s="4" t="s">
        <v>51</v>
      </c>
      <c r="D9" s="4"/>
      <c r="E9" s="4"/>
      <c r="F9" s="4"/>
      <c r="G9" s="4"/>
      <c r="H9" s="1"/>
      <c r="I9" s="1"/>
      <c r="J9" s="1"/>
      <c r="K9" s="1"/>
      <c r="L9" s="1"/>
      <c r="M9" s="1"/>
      <c r="N9" s="1"/>
      <c r="O9" s="4"/>
      <c r="P9" s="4"/>
      <c r="Q9" s="4"/>
      <c r="R9" s="4"/>
    </row>
    <row r="10" spans="1:20" x14ac:dyDescent="0.35">
      <c r="A10">
        <f>ROW() - ROW(Table13[[#Headers],[S.No]])</f>
        <v>5</v>
      </c>
      <c r="B10" s="3"/>
      <c r="C10" s="4" t="s">
        <v>285</v>
      </c>
      <c r="D10" s="4"/>
      <c r="E10" s="4"/>
      <c r="F10" s="4"/>
      <c r="G10" s="4"/>
      <c r="H10" s="1"/>
      <c r="I10" s="1"/>
      <c r="J10" s="1"/>
      <c r="K10" s="1"/>
      <c r="L10" s="1"/>
      <c r="M10" s="1"/>
      <c r="N10" s="1"/>
      <c r="O10" s="4"/>
      <c r="P10" s="4"/>
      <c r="Q10" s="4"/>
      <c r="R10" s="4"/>
    </row>
    <row r="11" spans="1:20" x14ac:dyDescent="0.35">
      <c r="A11">
        <v>6</v>
      </c>
      <c r="B11" s="3"/>
      <c r="C11" s="4" t="s">
        <v>52</v>
      </c>
      <c r="D11" s="4"/>
      <c r="E11" s="4"/>
      <c r="F11" s="4"/>
      <c r="G11" s="4"/>
      <c r="H11" s="1"/>
      <c r="I11" s="1"/>
      <c r="J11" s="1"/>
      <c r="K11" s="1"/>
      <c r="L11" s="1"/>
      <c r="M11" s="1"/>
      <c r="N11" s="1"/>
      <c r="O11" s="4"/>
      <c r="P11" s="4"/>
      <c r="Q11" s="4"/>
      <c r="R11" s="4"/>
    </row>
    <row r="12" spans="1:20" x14ac:dyDescent="0.35">
      <c r="B12" s="3"/>
      <c r="C12" s="4"/>
      <c r="D12" s="4"/>
      <c r="E12" s="4"/>
      <c r="F12" s="4"/>
      <c r="G12" s="4"/>
      <c r="H12" s="1"/>
      <c r="I12" s="1"/>
      <c r="J12" s="1"/>
      <c r="K12" s="1"/>
      <c r="L12" s="1"/>
      <c r="M12" s="1"/>
      <c r="N12" s="1"/>
      <c r="O12" s="4"/>
      <c r="P12" s="4"/>
      <c r="Q12" s="4"/>
      <c r="R12" s="4"/>
    </row>
    <row r="13" spans="1:20" x14ac:dyDescent="0.35">
      <c r="B13" s="3"/>
      <c r="C13" s="4"/>
      <c r="D13" s="4"/>
      <c r="E13" s="4"/>
      <c r="F13" s="4"/>
      <c r="G13" s="4"/>
      <c r="H13" s="1"/>
      <c r="I13" s="1"/>
      <c r="J13" s="1"/>
      <c r="K13" s="1"/>
      <c r="L13" s="1"/>
      <c r="M13" s="1"/>
      <c r="N13" s="1"/>
      <c r="O13" s="4"/>
      <c r="P13" s="4"/>
      <c r="Q13" s="4"/>
      <c r="R13" s="4"/>
    </row>
    <row r="14" spans="1:20" x14ac:dyDescent="0.35">
      <c r="B14" s="3"/>
      <c r="C14" s="4"/>
      <c r="D14" s="4"/>
      <c r="E14" s="4"/>
      <c r="F14" s="4"/>
      <c r="G14" s="4"/>
      <c r="H14" s="1"/>
      <c r="I14" s="1"/>
      <c r="J14" s="1"/>
      <c r="K14" s="1"/>
      <c r="L14" s="1"/>
      <c r="M14" s="1"/>
      <c r="N14" s="1"/>
      <c r="O14" s="4"/>
      <c r="P14" s="4"/>
      <c r="Q14" s="4"/>
      <c r="R14" s="4"/>
    </row>
  </sheetData>
  <mergeCells count="1">
    <mergeCell ref="B1:T3"/>
  </mergeCells>
  <conditionalFormatting sqref="O5:O14">
    <cfRule type="containsText" dxfId="23" priority="4" operator="containsText" text="Critical">
      <formula>NOT(ISERROR(SEARCH("Critical",O5)))</formula>
    </cfRule>
    <cfRule type="containsText" dxfId="22" priority="5" operator="containsText" text="Low">
      <formula>NOT(ISERROR(SEARCH("Low",O5)))</formula>
    </cfRule>
    <cfRule type="containsText" dxfId="21" priority="6" operator="containsText" text="Adequate ">
      <formula>NOT(ISERROR(SEARCH("Adequate ",O5)))</formula>
    </cfRule>
  </conditionalFormatting>
  <conditionalFormatting sqref="O6:O14">
    <cfRule type="containsText" dxfId="20" priority="1" operator="containsText" text="Critical">
      <formula>NOT(ISERROR(SEARCH("Critical",O6)))</formula>
    </cfRule>
    <cfRule type="containsText" dxfId="19" priority="2" operator="containsText" text="Low">
      <formula>NOT(ISERROR(SEARCH("Low",O6)))</formula>
    </cfRule>
    <cfRule type="containsText" dxfId="18" priority="3" operator="containsText" text="Adequate">
      <formula>NOT(ISERROR(SEARCH("Adequate",O6)))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371D-89F8-46C5-A046-E0FD6E2FA404}">
  <dimension ref="A3:AG30"/>
  <sheetViews>
    <sheetView zoomScale="99" zoomScaleNormal="41" workbookViewId="0">
      <selection activeCell="K12" sqref="K12"/>
    </sheetView>
  </sheetViews>
  <sheetFormatPr defaultRowHeight="14.5" x14ac:dyDescent="0.35"/>
  <cols>
    <col min="2" max="2" width="15.08984375" customWidth="1"/>
    <col min="3" max="3" width="9.7265625" bestFit="1" customWidth="1"/>
    <col min="4" max="4" width="11.453125" bestFit="1" customWidth="1"/>
    <col min="5" max="5" width="16.26953125" customWidth="1"/>
    <col min="6" max="6" width="11.453125" bestFit="1" customWidth="1"/>
    <col min="7" max="7" width="13.08984375" customWidth="1"/>
    <col min="8" max="8" width="17.08984375" customWidth="1"/>
    <col min="9" max="9" width="13.81640625" customWidth="1"/>
    <col min="10" max="10" width="9.90625" customWidth="1"/>
    <col min="11" max="11" width="11.453125" bestFit="1" customWidth="1"/>
    <col min="13" max="13" width="17" customWidth="1"/>
    <col min="14" max="14" width="7.26953125" customWidth="1"/>
    <col min="15" max="27" width="11.453125" bestFit="1" customWidth="1"/>
    <col min="28" max="28" width="14.453125" bestFit="1" customWidth="1"/>
    <col min="29" max="29" width="19.81640625" bestFit="1" customWidth="1"/>
    <col min="30" max="30" width="22.54296875" bestFit="1" customWidth="1"/>
    <col min="31" max="31" width="11.7265625" bestFit="1" customWidth="1"/>
  </cols>
  <sheetData>
    <row r="3" spans="1:13" ht="14.5" customHeight="1" x14ac:dyDescent="0.35">
      <c r="A3" s="81" t="s">
        <v>295</v>
      </c>
      <c r="B3" s="81"/>
      <c r="C3" s="81"/>
      <c r="D3" s="81"/>
      <c r="E3" s="81"/>
      <c r="F3" s="81"/>
      <c r="G3" s="81"/>
      <c r="H3" s="81"/>
      <c r="I3" s="92"/>
      <c r="J3" s="92"/>
      <c r="K3" s="92"/>
      <c r="L3" s="92"/>
      <c r="M3" s="92"/>
    </row>
    <row r="4" spans="1:13" x14ac:dyDescent="0.35">
      <c r="A4" s="81"/>
      <c r="B4" s="81"/>
      <c r="C4" s="81"/>
      <c r="D4" s="81"/>
      <c r="E4" s="81"/>
      <c r="F4" s="81"/>
      <c r="G4" s="81"/>
      <c r="H4" s="81"/>
      <c r="I4" s="92"/>
      <c r="J4" s="92"/>
      <c r="K4" s="92"/>
      <c r="L4" s="92"/>
      <c r="M4" s="92"/>
    </row>
    <row r="6" spans="1:13" ht="9" customHeight="1" x14ac:dyDescent="0.35"/>
    <row r="7" spans="1:13" ht="36.5" customHeight="1" x14ac:dyDescent="0.35">
      <c r="A7" s="75" t="s">
        <v>1</v>
      </c>
      <c r="B7" s="76" t="s">
        <v>288</v>
      </c>
      <c r="C7" s="76" t="s">
        <v>289</v>
      </c>
      <c r="D7" s="76" t="s">
        <v>290</v>
      </c>
      <c r="E7" s="76" t="s">
        <v>291</v>
      </c>
      <c r="F7" s="76" t="s">
        <v>292</v>
      </c>
      <c r="G7" s="76" t="s">
        <v>293</v>
      </c>
      <c r="H7" s="22" t="s">
        <v>18</v>
      </c>
    </row>
    <row r="8" spans="1:13" x14ac:dyDescent="0.35">
      <c r="A8" s="70"/>
      <c r="B8" s="66"/>
      <c r="C8" s="67"/>
      <c r="D8" s="67"/>
      <c r="E8" s="67"/>
      <c r="F8" s="67"/>
      <c r="G8" s="67"/>
    </row>
    <row r="9" spans="1:13" x14ac:dyDescent="0.35">
      <c r="A9" s="71"/>
      <c r="B9" s="68"/>
      <c r="C9" s="69"/>
      <c r="D9" s="69"/>
      <c r="E9" s="69"/>
      <c r="F9" s="69"/>
      <c r="G9" s="69"/>
    </row>
    <row r="10" spans="1:13" x14ac:dyDescent="0.35">
      <c r="A10" s="70"/>
      <c r="B10" s="66"/>
      <c r="C10" s="67"/>
      <c r="D10" s="67"/>
      <c r="E10" s="67"/>
      <c r="F10" s="67"/>
      <c r="G10" s="67"/>
    </row>
    <row r="11" spans="1:13" x14ac:dyDescent="0.35">
      <c r="A11" s="71"/>
      <c r="B11" s="68"/>
      <c r="C11" s="69"/>
      <c r="D11" s="69"/>
      <c r="E11" s="69"/>
      <c r="F11" s="69"/>
      <c r="G11" s="69"/>
    </row>
    <row r="12" spans="1:13" x14ac:dyDescent="0.35">
      <c r="A12" s="70"/>
      <c r="B12" s="66"/>
      <c r="C12" s="67"/>
      <c r="D12" s="67"/>
      <c r="E12" s="67"/>
      <c r="F12" s="67"/>
      <c r="G12" s="67"/>
    </row>
    <row r="13" spans="1:13" x14ac:dyDescent="0.35">
      <c r="A13" s="71"/>
      <c r="B13" s="68"/>
      <c r="C13" s="69"/>
      <c r="D13" s="69"/>
      <c r="E13" s="69"/>
      <c r="F13" s="69"/>
      <c r="G13" s="69"/>
    </row>
    <row r="14" spans="1:13" x14ac:dyDescent="0.35">
      <c r="A14" s="70"/>
      <c r="B14" s="66"/>
      <c r="C14" s="67"/>
      <c r="D14" s="67"/>
      <c r="E14" s="67"/>
      <c r="F14" s="67"/>
      <c r="G14" s="67"/>
    </row>
    <row r="15" spans="1:13" x14ac:dyDescent="0.35">
      <c r="A15" s="71"/>
      <c r="B15" s="68"/>
      <c r="C15" s="69"/>
      <c r="D15" s="69"/>
      <c r="E15" s="69"/>
      <c r="F15" s="69"/>
      <c r="G15" s="69"/>
    </row>
    <row r="16" spans="1:13" x14ac:dyDescent="0.35">
      <c r="A16" s="72"/>
      <c r="B16" s="73"/>
      <c r="C16" s="74"/>
      <c r="D16" s="74"/>
      <c r="E16" s="74"/>
      <c r="F16" s="74"/>
      <c r="G16" s="74"/>
    </row>
    <row r="21" spans="1:33" x14ac:dyDescent="0.35">
      <c r="A21" s="53"/>
      <c r="B21" s="81" t="s">
        <v>296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</row>
    <row r="22" spans="1:33" x14ac:dyDescent="0.3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</row>
    <row r="27" spans="1:33" ht="43.5" x14ac:dyDescent="0.35">
      <c r="A27" s="16" t="s">
        <v>1</v>
      </c>
      <c r="B27" s="7" t="s">
        <v>2</v>
      </c>
      <c r="C27" s="7" t="s">
        <v>53</v>
      </c>
      <c r="D27" s="7" t="s">
        <v>54</v>
      </c>
      <c r="E27" s="7" t="s">
        <v>55</v>
      </c>
      <c r="F27" s="7" t="s">
        <v>56</v>
      </c>
      <c r="G27" s="7" t="s">
        <v>57</v>
      </c>
      <c r="H27" s="7" t="s">
        <v>58</v>
      </c>
      <c r="I27" s="7" t="s">
        <v>59</v>
      </c>
      <c r="J27" s="7" t="s">
        <v>60</v>
      </c>
      <c r="K27" s="7" t="s">
        <v>61</v>
      </c>
      <c r="L27" s="7" t="s">
        <v>62</v>
      </c>
      <c r="M27" s="7" t="s">
        <v>63</v>
      </c>
      <c r="N27" s="7" t="s">
        <v>64</v>
      </c>
      <c r="O27" s="7" t="s">
        <v>65</v>
      </c>
      <c r="P27" s="7" t="s">
        <v>66</v>
      </c>
      <c r="Q27" s="7" t="s">
        <v>67</v>
      </c>
      <c r="R27" s="7" t="s">
        <v>68</v>
      </c>
      <c r="S27" s="7" t="s">
        <v>69</v>
      </c>
      <c r="T27" s="7" t="s">
        <v>70</v>
      </c>
      <c r="U27" s="7" t="s">
        <v>71</v>
      </c>
      <c r="V27" s="7" t="s">
        <v>287</v>
      </c>
      <c r="W27" s="7" t="s">
        <v>72</v>
      </c>
      <c r="X27" s="7" t="s">
        <v>73</v>
      </c>
      <c r="Y27" s="7" t="s">
        <v>74</v>
      </c>
      <c r="Z27" s="7" t="s">
        <v>75</v>
      </c>
      <c r="AA27" s="7" t="s">
        <v>76</v>
      </c>
      <c r="AB27" s="7" t="s">
        <v>77</v>
      </c>
      <c r="AC27" s="7" t="s">
        <v>78</v>
      </c>
      <c r="AD27" s="7" t="s">
        <v>79</v>
      </c>
      <c r="AE27" s="7" t="s">
        <v>80</v>
      </c>
      <c r="AF27" s="7" t="s">
        <v>81</v>
      </c>
      <c r="AG27" s="15" t="s">
        <v>18</v>
      </c>
    </row>
    <row r="28" spans="1:33" x14ac:dyDescent="0.35">
      <c r="A28" s="17">
        <v>1</v>
      </c>
      <c r="B28" s="8">
        <v>46272</v>
      </c>
      <c r="C28" s="9"/>
      <c r="D28" s="9">
        <v>1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10"/>
      <c r="AD28" s="10"/>
      <c r="AE28" s="10"/>
      <c r="AF28" s="9"/>
      <c r="AG28" s="14"/>
    </row>
    <row r="29" spans="1:33" x14ac:dyDescent="0.35">
      <c r="A29" s="18">
        <v>2</v>
      </c>
      <c r="B29" s="11">
        <v>46273</v>
      </c>
      <c r="C29" s="12"/>
      <c r="D29" s="12">
        <v>2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3"/>
      <c r="AC29" s="13"/>
      <c r="AD29" s="13"/>
      <c r="AE29" s="13"/>
      <c r="AF29" s="12"/>
    </row>
    <row r="30" spans="1:33" x14ac:dyDescent="0.35">
      <c r="A30" s="17">
        <v>3</v>
      </c>
      <c r="B30" s="8">
        <v>46274</v>
      </c>
      <c r="C30" s="9"/>
      <c r="D30" s="9">
        <v>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10"/>
      <c r="AD30" s="10"/>
      <c r="AE30" s="10"/>
      <c r="AF30" s="9"/>
      <c r="AG30" s="14"/>
    </row>
  </sheetData>
  <mergeCells count="4">
    <mergeCell ref="B21:M22"/>
    <mergeCell ref="A21:A22"/>
    <mergeCell ref="A3:H4"/>
    <mergeCell ref="N21:AG22"/>
  </mergeCells>
  <conditionalFormatting sqref="AF27:AF30">
    <cfRule type="containsText" dxfId="17" priority="4" operator="containsText" text="Critical">
      <formula>NOT(ISERROR(SEARCH("Critical",AF27)))</formula>
    </cfRule>
    <cfRule type="containsText" dxfId="16" priority="5" operator="containsText" text="Low">
      <formula>NOT(ISERROR(SEARCH("Low",AF27)))</formula>
    </cfRule>
    <cfRule type="containsText" dxfId="15" priority="6" operator="containsText" text="Adequate ">
      <formula>NOT(ISERROR(SEARCH("Adequate ",AF27)))</formula>
    </cfRule>
  </conditionalFormatting>
  <conditionalFormatting sqref="AF28:AF30">
    <cfRule type="containsText" dxfId="14" priority="1" operator="containsText" text="Critical">
      <formula>NOT(ISERROR(SEARCH("Critical",AF28)))</formula>
    </cfRule>
    <cfRule type="containsText" dxfId="13" priority="2" operator="containsText" text="Low">
      <formula>NOT(ISERROR(SEARCH("Low",AF28)))</formula>
    </cfRule>
    <cfRule type="containsText" dxfId="12" priority="3" operator="containsText" text="Adequate">
      <formula>NOT(ISERROR(SEARCH("Adequate",AF28)))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E4DF-3094-46DA-98BB-BE293FEBA86C}">
  <dimension ref="A1:R13"/>
  <sheetViews>
    <sheetView workbookViewId="0">
      <selection activeCell="R15" sqref="R15"/>
    </sheetView>
  </sheetViews>
  <sheetFormatPr defaultRowHeight="14.5" x14ac:dyDescent="0.35"/>
  <cols>
    <col min="2" max="2" width="20.453125" customWidth="1"/>
    <col min="10" max="10" width="12.453125" customWidth="1"/>
  </cols>
  <sheetData>
    <row r="1" spans="1:18" x14ac:dyDescent="0.35">
      <c r="B1" s="81" t="s">
        <v>297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8" x14ac:dyDescent="0.35"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4" spans="1:18" ht="58" x14ac:dyDescent="0.35">
      <c r="A4" s="6" t="s">
        <v>1</v>
      </c>
      <c r="B4" s="5" t="s">
        <v>2</v>
      </c>
      <c r="C4" s="5" t="s">
        <v>82</v>
      </c>
      <c r="D4" s="5" t="s">
        <v>53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5" t="s">
        <v>90</v>
      </c>
      <c r="M4" s="5" t="s">
        <v>91</v>
      </c>
      <c r="N4" s="5" t="s">
        <v>92</v>
      </c>
      <c r="O4" s="5" t="s">
        <v>93</v>
      </c>
      <c r="P4" s="5" t="s">
        <v>94</v>
      </c>
      <c r="Q4" s="5" t="s">
        <v>95</v>
      </c>
      <c r="R4" s="5" t="s">
        <v>287</v>
      </c>
    </row>
    <row r="5" spans="1:18" x14ac:dyDescent="0.35">
      <c r="A5">
        <f>ROW() - ROW(Table134[[#Headers],[S.No]])</f>
        <v>1</v>
      </c>
      <c r="B5" s="3">
        <v>46266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"/>
      <c r="R5" s="1"/>
    </row>
    <row r="6" spans="1:18" x14ac:dyDescent="0.35">
      <c r="A6">
        <f>ROW() - ROW(Table134[[#Headers],[S.No]])</f>
        <v>2</v>
      </c>
      <c r="B6" s="3">
        <v>46267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"/>
      <c r="R6" s="1"/>
    </row>
    <row r="7" spans="1:18" x14ac:dyDescent="0.35">
      <c r="A7">
        <f>ROW() - ROW(Table134[[#Headers],[S.No]])</f>
        <v>3</v>
      </c>
      <c r="B7" s="3">
        <v>46268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"/>
      <c r="R7" s="1"/>
    </row>
    <row r="8" spans="1:18" x14ac:dyDescent="0.35">
      <c r="A8">
        <f>ROW() - ROW(Table134[[#Headers],[S.No]])</f>
        <v>4</v>
      </c>
      <c r="B8" s="3">
        <v>46269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"/>
      <c r="R8" s="1"/>
    </row>
    <row r="9" spans="1:18" x14ac:dyDescent="0.35">
      <c r="A9">
        <f>ROW() - ROW(Table134[[#Headers],[S.No]])</f>
        <v>5</v>
      </c>
      <c r="B9" s="3">
        <v>46270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"/>
      <c r="R9" s="1"/>
    </row>
    <row r="10" spans="1:18" x14ac:dyDescent="0.3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"/>
      <c r="R10" s="1"/>
    </row>
    <row r="11" spans="1:18" x14ac:dyDescent="0.3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"/>
      <c r="R11" s="1"/>
    </row>
    <row r="12" spans="1:18" x14ac:dyDescent="0.3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1"/>
      <c r="R12" s="1"/>
    </row>
    <row r="13" spans="1:18" x14ac:dyDescent="0.3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"/>
      <c r="R13" s="1"/>
    </row>
  </sheetData>
  <mergeCells count="1">
    <mergeCell ref="B1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A892-31F5-4B31-874E-E9A9367D0557}">
  <dimension ref="A1:AC13"/>
  <sheetViews>
    <sheetView workbookViewId="0">
      <selection activeCell="K16" sqref="K16"/>
    </sheetView>
  </sheetViews>
  <sheetFormatPr defaultRowHeight="14.5" x14ac:dyDescent="0.35"/>
  <cols>
    <col min="1" max="1" width="14" customWidth="1"/>
    <col min="2" max="2" width="22.81640625" customWidth="1"/>
    <col min="21" max="21" width="14" customWidth="1"/>
    <col min="25" max="27" width="11.453125" bestFit="1" customWidth="1"/>
    <col min="28" max="28" width="15.26953125" customWidth="1"/>
    <col min="29" max="31" width="11.453125" bestFit="1" customWidth="1"/>
  </cols>
  <sheetData>
    <row r="1" spans="1:29" x14ac:dyDescent="0.35">
      <c r="B1" s="81" t="s">
        <v>298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29" x14ac:dyDescent="0.35"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4" spans="1:29" ht="43.5" x14ac:dyDescent="0.35">
      <c r="A4" s="6" t="s">
        <v>1</v>
      </c>
      <c r="B4" s="5" t="s">
        <v>2</v>
      </c>
      <c r="C4" s="5" t="s">
        <v>96</v>
      </c>
      <c r="D4" s="5" t="s">
        <v>97</v>
      </c>
      <c r="E4" s="5" t="s">
        <v>53</v>
      </c>
      <c r="F4" s="5" t="s">
        <v>98</v>
      </c>
      <c r="G4" s="5" t="s">
        <v>99</v>
      </c>
      <c r="H4" s="5" t="s">
        <v>100</v>
      </c>
      <c r="I4" s="5" t="s">
        <v>101</v>
      </c>
      <c r="J4" s="5" t="s">
        <v>102</v>
      </c>
      <c r="K4" s="5" t="s">
        <v>103</v>
      </c>
      <c r="L4" s="5" t="s">
        <v>79</v>
      </c>
      <c r="M4" s="5" t="s">
        <v>104</v>
      </c>
      <c r="N4" s="5" t="s">
        <v>105</v>
      </c>
      <c r="O4" s="5" t="s">
        <v>106</v>
      </c>
      <c r="P4" s="5" t="s">
        <v>107</v>
      </c>
      <c r="Q4" s="5" t="s">
        <v>108</v>
      </c>
      <c r="R4" s="5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5" t="s">
        <v>115</v>
      </c>
      <c r="Y4" s="30" t="s">
        <v>116</v>
      </c>
      <c r="Z4" s="30" t="s">
        <v>117</v>
      </c>
      <c r="AA4" s="30" t="s">
        <v>118</v>
      </c>
      <c r="AB4" s="30" t="s">
        <v>119</v>
      </c>
      <c r="AC4" s="30" t="s">
        <v>120</v>
      </c>
    </row>
    <row r="5" spans="1:29" x14ac:dyDescent="0.35">
      <c r="A5">
        <f>ROW() - ROW(Table1345[[#Headers],[S.No]])</f>
        <v>1</v>
      </c>
      <c r="B5" s="3">
        <v>46266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"/>
      <c r="Q5" s="1"/>
      <c r="R5" s="1"/>
      <c r="S5" s="1"/>
      <c r="T5" s="1"/>
      <c r="U5" s="4"/>
      <c r="V5" s="4"/>
      <c r="W5" s="4"/>
      <c r="X5" s="4"/>
    </row>
    <row r="6" spans="1:29" x14ac:dyDescent="0.35">
      <c r="A6">
        <f>ROW() - ROW(Table1345[[#Headers],[S.No]])</f>
        <v>2</v>
      </c>
      <c r="B6" s="3">
        <v>46267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"/>
      <c r="Q6" s="1"/>
      <c r="R6" s="1"/>
      <c r="S6" s="1"/>
      <c r="T6" s="1"/>
      <c r="U6" s="4"/>
      <c r="V6" s="4"/>
      <c r="W6" s="4"/>
      <c r="X6" s="4"/>
    </row>
    <row r="7" spans="1:29" x14ac:dyDescent="0.35">
      <c r="A7">
        <f>ROW() - ROW(Table1345[[#Headers],[S.No]])</f>
        <v>3</v>
      </c>
      <c r="B7" s="3">
        <v>46268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4"/>
      <c r="V7" s="4"/>
      <c r="W7" s="4"/>
      <c r="X7" s="4"/>
    </row>
    <row r="8" spans="1:29" x14ac:dyDescent="0.35">
      <c r="A8">
        <f>ROW() - ROW(Table1345[[#Headers],[S.No]])</f>
        <v>4</v>
      </c>
      <c r="B8" s="3">
        <v>46269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"/>
      <c r="Q8" s="1"/>
      <c r="R8" s="1"/>
      <c r="S8" s="1"/>
      <c r="T8" s="1"/>
      <c r="U8" s="4"/>
      <c r="V8" s="4"/>
      <c r="W8" s="4"/>
      <c r="X8" s="4"/>
    </row>
    <row r="9" spans="1:29" x14ac:dyDescent="0.35">
      <c r="A9">
        <f>ROW() - ROW(Table1345[[#Headers],[S.No]])</f>
        <v>5</v>
      </c>
      <c r="B9" s="3">
        <v>46270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"/>
      <c r="Q9" s="1"/>
      <c r="R9" s="1"/>
      <c r="S9" s="1"/>
      <c r="T9" s="1"/>
      <c r="U9" s="4"/>
      <c r="V9" s="4"/>
      <c r="W9" s="4"/>
      <c r="X9" s="4"/>
    </row>
    <row r="10" spans="1:29" x14ac:dyDescent="0.3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"/>
      <c r="Q10" s="1"/>
      <c r="R10" s="1"/>
      <c r="S10" s="1"/>
      <c r="T10" s="1"/>
      <c r="U10" s="4"/>
      <c r="V10" s="4"/>
      <c r="W10" s="4"/>
      <c r="X10" s="4"/>
    </row>
    <row r="11" spans="1:29" x14ac:dyDescent="0.3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"/>
      <c r="Q11" s="1"/>
      <c r="R11" s="1"/>
      <c r="S11" s="1"/>
      <c r="T11" s="1"/>
      <c r="U11" s="4"/>
      <c r="V11" s="4"/>
      <c r="W11" s="4"/>
      <c r="X11" s="4"/>
    </row>
    <row r="12" spans="1:29" x14ac:dyDescent="0.3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"/>
      <c r="Q12" s="1"/>
      <c r="R12" s="1"/>
      <c r="S12" s="1"/>
      <c r="T12" s="1"/>
      <c r="U12" s="4"/>
      <c r="V12" s="4"/>
      <c r="W12" s="4"/>
      <c r="X12" s="4"/>
    </row>
    <row r="13" spans="1:29" x14ac:dyDescent="0.3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"/>
      <c r="Q13" s="1"/>
      <c r="R13" s="1"/>
      <c r="S13" s="1"/>
      <c r="T13" s="1"/>
      <c r="U13" s="4"/>
      <c r="V13" s="4"/>
      <c r="W13" s="4"/>
      <c r="X13" s="4"/>
    </row>
  </sheetData>
  <mergeCells count="1">
    <mergeCell ref="B1:M2"/>
  </mergeCells>
  <conditionalFormatting sqref="U4:U13">
    <cfRule type="containsText" dxfId="11" priority="4" operator="containsText" text="Critical">
      <formula>NOT(ISERROR(SEARCH("Critical",U4)))</formula>
    </cfRule>
    <cfRule type="containsText" dxfId="10" priority="5" operator="containsText" text="Low">
      <formula>NOT(ISERROR(SEARCH("Low",U4)))</formula>
    </cfRule>
    <cfRule type="containsText" dxfId="9" priority="6" operator="containsText" text="Adequate ">
      <formula>NOT(ISERROR(SEARCH("Adequate ",U4)))</formula>
    </cfRule>
  </conditionalFormatting>
  <conditionalFormatting sqref="U5:U13">
    <cfRule type="containsText" dxfId="8" priority="1" operator="containsText" text="Critical">
      <formula>NOT(ISERROR(SEARCH("Critical",U5)))</formula>
    </cfRule>
    <cfRule type="containsText" dxfId="7" priority="2" operator="containsText" text="Low">
      <formula>NOT(ISERROR(SEARCH("Low",U5)))</formula>
    </cfRule>
    <cfRule type="containsText" dxfId="6" priority="3" operator="containsText" text="Adequate">
      <formula>NOT(ISERROR(SEARCH("Adequate",U5)))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B074-4154-424A-B611-D5EDA0806619}">
  <dimension ref="A3:AM12"/>
  <sheetViews>
    <sheetView topLeftCell="D1" zoomScale="109" workbookViewId="0">
      <selection activeCell="J16" sqref="J16"/>
    </sheetView>
  </sheetViews>
  <sheetFormatPr defaultRowHeight="14.5" x14ac:dyDescent="0.35"/>
  <cols>
    <col min="2" max="2" width="13.453125" customWidth="1"/>
    <col min="12" max="12" width="13.54296875" customWidth="1"/>
    <col min="13" max="13" width="12.26953125" customWidth="1"/>
    <col min="14" max="14" width="13.90625" customWidth="1"/>
    <col min="15" max="15" width="11.26953125" customWidth="1"/>
    <col min="31" max="39" width="11.453125" bestFit="1" customWidth="1"/>
  </cols>
  <sheetData>
    <row r="3" spans="1:39" ht="46.5" customHeight="1" x14ac:dyDescent="0.35">
      <c r="A3" s="47" t="s">
        <v>1</v>
      </c>
      <c r="B3" s="45" t="s">
        <v>2</v>
      </c>
      <c r="C3" s="45" t="s">
        <v>96</v>
      </c>
      <c r="D3" s="45" t="s">
        <v>53</v>
      </c>
      <c r="E3" s="45" t="s">
        <v>98</v>
      </c>
      <c r="F3" s="45" t="s">
        <v>99</v>
      </c>
      <c r="G3" s="45" t="s">
        <v>100</v>
      </c>
      <c r="H3" s="45" t="s">
        <v>121</v>
      </c>
      <c r="I3" s="45" t="s">
        <v>101</v>
      </c>
      <c r="J3" s="45" t="s">
        <v>102</v>
      </c>
      <c r="K3" s="45" t="s">
        <v>103</v>
      </c>
      <c r="L3" s="45" t="s">
        <v>79</v>
      </c>
      <c r="M3" s="45" t="s">
        <v>104</v>
      </c>
      <c r="N3" s="45" t="s">
        <v>105</v>
      </c>
      <c r="O3" s="45" t="s">
        <v>122</v>
      </c>
      <c r="P3" s="45" t="s">
        <v>123</v>
      </c>
      <c r="Q3" s="45" t="s">
        <v>124</v>
      </c>
      <c r="R3" s="45" t="s">
        <v>125</v>
      </c>
      <c r="S3" s="45" t="s">
        <v>126</v>
      </c>
      <c r="T3" s="45" t="s">
        <v>127</v>
      </c>
      <c r="U3" s="45" t="s">
        <v>128</v>
      </c>
      <c r="V3" s="45" t="s">
        <v>129</v>
      </c>
      <c r="W3" s="45" t="s">
        <v>130</v>
      </c>
      <c r="X3" s="45" t="s">
        <v>131</v>
      </c>
      <c r="Y3" s="45" t="s">
        <v>132</v>
      </c>
      <c r="Z3" s="47" t="s">
        <v>133</v>
      </c>
      <c r="AA3" s="47" t="s">
        <v>134</v>
      </c>
      <c r="AB3" s="47" t="s">
        <v>135</v>
      </c>
      <c r="AC3" s="47" t="s">
        <v>136</v>
      </c>
      <c r="AD3" s="47" t="s">
        <v>137</v>
      </c>
      <c r="AE3" s="47" t="s">
        <v>138</v>
      </c>
      <c r="AF3" s="47" t="s">
        <v>139</v>
      </c>
      <c r="AG3" s="47" t="s">
        <v>140</v>
      </c>
      <c r="AH3" s="47" t="s">
        <v>141</v>
      </c>
      <c r="AI3" s="47" t="s">
        <v>142</v>
      </c>
      <c r="AJ3" s="47" t="s">
        <v>143</v>
      </c>
      <c r="AK3" s="47" t="s">
        <v>144</v>
      </c>
      <c r="AL3" s="47" t="s">
        <v>145</v>
      </c>
      <c r="AM3" s="47" t="s">
        <v>120</v>
      </c>
    </row>
    <row r="4" spans="1:39" x14ac:dyDescent="0.35">
      <c r="A4">
        <f>ROW() - ROW(Table134510[[#Headers],[S.No]])</f>
        <v>1</v>
      </c>
      <c r="B4" s="3">
        <v>46266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4"/>
      <c r="X4" s="4"/>
      <c r="Y4" s="4"/>
    </row>
    <row r="5" spans="1:39" x14ac:dyDescent="0.35">
      <c r="A5">
        <f>ROW() - ROW(Table134510[[#Headers],[S.No]])</f>
        <v>2</v>
      </c>
      <c r="B5" s="3">
        <v>46267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4"/>
      <c r="X5" s="4"/>
      <c r="Y5" s="4"/>
    </row>
    <row r="6" spans="1:39" x14ac:dyDescent="0.35">
      <c r="A6">
        <f>ROW() - ROW(Table134510[[#Headers],[S.No]])</f>
        <v>3</v>
      </c>
      <c r="B6" s="3">
        <v>46268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4"/>
      <c r="X6" s="4"/>
      <c r="Y6" s="4"/>
    </row>
    <row r="7" spans="1:39" x14ac:dyDescent="0.35">
      <c r="A7">
        <f>ROW() - ROW(Table134510[[#Headers],[S.No]])</f>
        <v>4</v>
      </c>
      <c r="B7" s="3">
        <v>46269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4"/>
      <c r="X7" s="4"/>
      <c r="Y7" s="4"/>
    </row>
    <row r="8" spans="1:39" x14ac:dyDescent="0.35">
      <c r="A8">
        <f>ROW() - ROW(Table134510[[#Headers],[S.No]])</f>
        <v>5</v>
      </c>
      <c r="B8" s="3">
        <v>46270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"/>
      <c r="R8" s="1"/>
      <c r="S8" s="1"/>
      <c r="T8" s="1"/>
      <c r="U8" s="1"/>
      <c r="V8" s="4"/>
      <c r="W8" s="4"/>
      <c r="X8" s="4"/>
      <c r="Y8" s="4"/>
    </row>
    <row r="9" spans="1:39" x14ac:dyDescent="0.3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"/>
      <c r="R9" s="1"/>
      <c r="S9" s="1"/>
      <c r="T9" s="1"/>
      <c r="U9" s="1"/>
      <c r="V9" s="4"/>
      <c r="W9" s="4"/>
      <c r="X9" s="4"/>
      <c r="Y9" s="4"/>
    </row>
    <row r="10" spans="1:39" x14ac:dyDescent="0.3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"/>
      <c r="R10" s="1"/>
      <c r="S10" s="1"/>
      <c r="T10" s="1"/>
      <c r="U10" s="1"/>
      <c r="V10" s="4"/>
      <c r="W10" s="4"/>
      <c r="X10" s="4"/>
      <c r="Y10" s="4"/>
    </row>
    <row r="11" spans="1:39" x14ac:dyDescent="0.3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"/>
      <c r="R11" s="1"/>
      <c r="S11" s="1"/>
      <c r="T11" s="1"/>
      <c r="U11" s="1"/>
      <c r="V11" s="4"/>
      <c r="W11" s="4"/>
      <c r="X11" s="4"/>
      <c r="Y11" s="4"/>
    </row>
    <row r="12" spans="1:39" x14ac:dyDescent="0.3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1"/>
      <c r="R12" s="1"/>
      <c r="S12" s="1"/>
      <c r="T12" s="1"/>
      <c r="U12" s="1"/>
      <c r="V12" s="4"/>
      <c r="W12" s="4"/>
      <c r="X12" s="4"/>
      <c r="Y12" s="4"/>
    </row>
  </sheetData>
  <phoneticPr fontId="26" type="noConversion"/>
  <conditionalFormatting sqref="V3:V12">
    <cfRule type="containsText" dxfId="5" priority="4" operator="containsText" text="Critical">
      <formula>NOT(ISERROR(SEARCH("Critical",V3)))</formula>
    </cfRule>
    <cfRule type="containsText" dxfId="4" priority="5" operator="containsText" text="Low">
      <formula>NOT(ISERROR(SEARCH("Low",V3)))</formula>
    </cfRule>
    <cfRule type="containsText" dxfId="3" priority="6" operator="containsText" text="Adequate ">
      <formula>NOT(ISERROR(SEARCH("Adequate ",V3)))</formula>
    </cfRule>
  </conditionalFormatting>
  <conditionalFormatting sqref="V4:V12">
    <cfRule type="containsText" dxfId="2" priority="1" operator="containsText" text="Critical">
      <formula>NOT(ISERROR(SEARCH("Critical",V4)))</formula>
    </cfRule>
    <cfRule type="containsText" dxfId="1" priority="2" operator="containsText" text="Low">
      <formula>NOT(ISERROR(SEARCH("Low",V4)))</formula>
    </cfRule>
    <cfRule type="containsText" dxfId="0" priority="3" operator="containsText" text="Adequate">
      <formula>NOT(ISERROR(SEARCH("Adequate",V4)))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7C12-59BD-45F2-8F81-DA085EDA4EC0}">
  <dimension ref="B1:I45"/>
  <sheetViews>
    <sheetView workbookViewId="0">
      <selection activeCell="C1" sqref="C1:E8"/>
    </sheetView>
  </sheetViews>
  <sheetFormatPr defaultRowHeight="14.5" x14ac:dyDescent="0.35"/>
  <cols>
    <col min="3" max="3" width="22.7265625" customWidth="1"/>
    <col min="4" max="4" width="40.26953125" customWidth="1"/>
    <col min="5" max="5" width="21.54296875" customWidth="1"/>
    <col min="6" max="6" width="18.1796875" customWidth="1"/>
    <col min="7" max="7" width="17.453125" customWidth="1"/>
    <col min="8" max="8" width="21.453125" customWidth="1"/>
    <col min="9" max="9" width="24.26953125" customWidth="1"/>
  </cols>
  <sheetData>
    <row r="1" spans="2:9" x14ac:dyDescent="0.35">
      <c r="B1" s="58"/>
      <c r="C1" s="88" t="s">
        <v>146</v>
      </c>
      <c r="D1" s="85"/>
      <c r="E1" s="85"/>
    </row>
    <row r="2" spans="2:9" x14ac:dyDescent="0.35">
      <c r="B2" s="58"/>
      <c r="C2" s="86"/>
      <c r="D2" s="86"/>
      <c r="E2" s="86"/>
    </row>
    <row r="3" spans="2:9" x14ac:dyDescent="0.35">
      <c r="C3" s="23" t="s">
        <v>147</v>
      </c>
      <c r="D3" s="24" t="s">
        <v>148</v>
      </c>
      <c r="E3" s="24" t="s">
        <v>149</v>
      </c>
    </row>
    <row r="4" spans="2:9" x14ac:dyDescent="0.35">
      <c r="C4" s="25" t="s">
        <v>150</v>
      </c>
      <c r="D4" s="27">
        <v>65572779</v>
      </c>
      <c r="E4" s="27">
        <v>11803100</v>
      </c>
    </row>
    <row r="5" spans="2:9" x14ac:dyDescent="0.35">
      <c r="C5" s="25" t="s">
        <v>151</v>
      </c>
      <c r="D5" s="27">
        <v>73091625</v>
      </c>
      <c r="E5" s="27">
        <v>13156493</v>
      </c>
    </row>
    <row r="6" spans="2:9" x14ac:dyDescent="0.35">
      <c r="C6" s="25" t="s">
        <v>152</v>
      </c>
      <c r="D6" s="27">
        <v>48342719</v>
      </c>
      <c r="E6" s="27">
        <v>8701689</v>
      </c>
    </row>
    <row r="7" spans="2:9" x14ac:dyDescent="0.35">
      <c r="C7" s="25" t="s">
        <v>153</v>
      </c>
      <c r="D7" s="27">
        <v>4500000</v>
      </c>
      <c r="E7" s="27">
        <v>810000</v>
      </c>
    </row>
    <row r="8" spans="2:9" x14ac:dyDescent="0.35">
      <c r="C8" s="25" t="s">
        <v>154</v>
      </c>
      <c r="D8" s="27">
        <v>8059200</v>
      </c>
      <c r="E8" s="27">
        <v>1450656</v>
      </c>
    </row>
    <row r="9" spans="2:9" x14ac:dyDescent="0.35">
      <c r="C9" s="28" t="s">
        <v>155</v>
      </c>
      <c r="D9" s="29">
        <v>199566323</v>
      </c>
      <c r="E9" s="29">
        <v>35921938</v>
      </c>
    </row>
    <row r="10" spans="2:9" x14ac:dyDescent="0.35">
      <c r="C10" s="25" t="s">
        <v>156</v>
      </c>
      <c r="D10" s="27">
        <v>101250000</v>
      </c>
      <c r="E10" s="26" t="s">
        <v>157</v>
      </c>
    </row>
    <row r="11" spans="2:9" x14ac:dyDescent="0.35">
      <c r="C11" s="25" t="s">
        <v>158</v>
      </c>
      <c r="D11" s="27">
        <v>63600000</v>
      </c>
      <c r="E11" s="26" t="s">
        <v>157</v>
      </c>
    </row>
    <row r="12" spans="2:9" x14ac:dyDescent="0.35">
      <c r="C12" s="28" t="s">
        <v>159</v>
      </c>
      <c r="D12" s="29">
        <v>364416323</v>
      </c>
      <c r="E12" s="29">
        <v>35921938</v>
      </c>
    </row>
    <row r="15" spans="2:9" x14ac:dyDescent="0.35">
      <c r="C15" s="89" t="s">
        <v>160</v>
      </c>
      <c r="D15" s="87"/>
      <c r="E15" s="87"/>
      <c r="F15" s="87"/>
      <c r="G15" s="87"/>
      <c r="H15" s="87"/>
      <c r="I15" s="87"/>
    </row>
    <row r="16" spans="2:9" x14ac:dyDescent="0.35">
      <c r="C16" s="87"/>
      <c r="D16" s="87"/>
      <c r="E16" s="87"/>
      <c r="F16" s="87"/>
      <c r="G16" s="87"/>
      <c r="H16" s="87"/>
      <c r="I16" s="87"/>
    </row>
    <row r="17" spans="3:9" ht="15.5" x14ac:dyDescent="0.35">
      <c r="C17" s="31" t="s">
        <v>1</v>
      </c>
      <c r="D17" s="32" t="s">
        <v>161</v>
      </c>
      <c r="E17" s="33" t="s">
        <v>162</v>
      </c>
      <c r="F17" s="33" t="s">
        <v>163</v>
      </c>
      <c r="G17" s="31" t="s">
        <v>157</v>
      </c>
      <c r="H17" s="33" t="s">
        <v>164</v>
      </c>
      <c r="I17" s="33" t="s">
        <v>165</v>
      </c>
    </row>
    <row r="18" spans="3:9" x14ac:dyDescent="0.35">
      <c r="C18" s="34">
        <v>1</v>
      </c>
      <c r="D18" s="35" t="s">
        <v>166</v>
      </c>
      <c r="E18" s="34">
        <v>1</v>
      </c>
      <c r="F18" s="36">
        <v>23717676.399999999</v>
      </c>
      <c r="G18" s="36">
        <v>23717676.399999999</v>
      </c>
      <c r="H18" s="36">
        <v>4269181.8</v>
      </c>
      <c r="I18" s="36">
        <v>27986858.149999999</v>
      </c>
    </row>
    <row r="19" spans="3:9" x14ac:dyDescent="0.35">
      <c r="C19" s="34">
        <v>2</v>
      </c>
      <c r="D19" s="35" t="s">
        <v>167</v>
      </c>
      <c r="E19" s="34">
        <v>1</v>
      </c>
      <c r="F19" s="37">
        <v>143000</v>
      </c>
      <c r="G19" s="36">
        <v>143000</v>
      </c>
      <c r="H19" s="36">
        <v>25740</v>
      </c>
      <c r="I19" s="36">
        <v>168740</v>
      </c>
    </row>
    <row r="20" spans="3:9" x14ac:dyDescent="0.35">
      <c r="C20" s="34">
        <v>3</v>
      </c>
      <c r="D20" s="35" t="s">
        <v>168</v>
      </c>
      <c r="E20" s="34">
        <v>1</v>
      </c>
      <c r="F20" s="34">
        <v>8690</v>
      </c>
      <c r="G20" s="36">
        <v>8690</v>
      </c>
      <c r="H20" s="36">
        <v>1564.2</v>
      </c>
      <c r="I20" s="36">
        <v>10254.200000000001</v>
      </c>
    </row>
    <row r="21" spans="3:9" x14ac:dyDescent="0.35">
      <c r="C21" s="34">
        <v>4</v>
      </c>
      <c r="D21" s="35" t="s">
        <v>169</v>
      </c>
      <c r="E21" s="34">
        <v>1</v>
      </c>
      <c r="F21" s="37">
        <v>536000</v>
      </c>
      <c r="G21" s="36">
        <v>536000</v>
      </c>
      <c r="H21" s="36">
        <v>96480</v>
      </c>
      <c r="I21" s="36">
        <v>632480</v>
      </c>
    </row>
    <row r="22" spans="3:9" x14ac:dyDescent="0.35">
      <c r="C22" s="34">
        <v>5</v>
      </c>
      <c r="D22" s="35" t="s">
        <v>170</v>
      </c>
      <c r="E22" s="34">
        <v>1</v>
      </c>
      <c r="F22" s="37">
        <v>409200</v>
      </c>
      <c r="G22" s="36">
        <v>409200</v>
      </c>
      <c r="H22" s="36">
        <v>73656</v>
      </c>
      <c r="I22" s="36">
        <v>482856</v>
      </c>
    </row>
    <row r="23" spans="3:9" x14ac:dyDescent="0.35">
      <c r="C23" s="34">
        <v>6</v>
      </c>
      <c r="D23" s="35" t="s">
        <v>171</v>
      </c>
      <c r="E23" s="34">
        <v>1</v>
      </c>
      <c r="F23" s="37">
        <v>205500</v>
      </c>
      <c r="G23" s="36">
        <v>205500</v>
      </c>
      <c r="H23" s="36">
        <v>36990</v>
      </c>
      <c r="I23" s="36">
        <v>242490</v>
      </c>
    </row>
    <row r="24" spans="3:9" x14ac:dyDescent="0.35">
      <c r="C24" s="34">
        <v>7</v>
      </c>
      <c r="D24" s="35" t="s">
        <v>172</v>
      </c>
      <c r="E24" s="34">
        <v>1</v>
      </c>
      <c r="F24" s="37">
        <v>2035000</v>
      </c>
      <c r="G24" s="36">
        <v>2035000</v>
      </c>
      <c r="H24" s="36">
        <v>366300</v>
      </c>
      <c r="I24" s="36">
        <v>2401300</v>
      </c>
    </row>
    <row r="25" spans="3:9" x14ac:dyDescent="0.35">
      <c r="C25" s="34">
        <v>8</v>
      </c>
      <c r="D25" s="35" t="s">
        <v>173</v>
      </c>
      <c r="E25" s="34">
        <v>1</v>
      </c>
      <c r="F25" s="37">
        <v>629521</v>
      </c>
      <c r="G25" s="36">
        <v>629521.19999999995</v>
      </c>
      <c r="H25" s="36">
        <v>113313.8</v>
      </c>
      <c r="I25" s="36">
        <v>742835.02</v>
      </c>
    </row>
    <row r="26" spans="3:9" x14ac:dyDescent="0.35">
      <c r="C26" s="34">
        <v>9</v>
      </c>
      <c r="D26" s="35" t="s">
        <v>174</v>
      </c>
      <c r="E26" s="34">
        <v>1</v>
      </c>
      <c r="F26" s="37">
        <v>4000</v>
      </c>
      <c r="G26" s="36">
        <v>4000</v>
      </c>
      <c r="H26" s="34">
        <v>720</v>
      </c>
      <c r="I26" s="36">
        <v>4720</v>
      </c>
    </row>
    <row r="27" spans="3:9" x14ac:dyDescent="0.35">
      <c r="C27" s="34">
        <v>10</v>
      </c>
      <c r="D27" s="35" t="s">
        <v>175</v>
      </c>
      <c r="E27" s="34">
        <v>1</v>
      </c>
      <c r="F27" s="37">
        <v>356366</v>
      </c>
      <c r="G27" s="36">
        <v>356365.9</v>
      </c>
      <c r="H27" s="36">
        <v>64145.9</v>
      </c>
      <c r="I27" s="36">
        <v>420511.76</v>
      </c>
    </row>
    <row r="28" spans="3:9" x14ac:dyDescent="0.35">
      <c r="C28" s="34">
        <v>11</v>
      </c>
      <c r="D28" s="35" t="s">
        <v>176</v>
      </c>
      <c r="E28" s="34">
        <v>1</v>
      </c>
      <c r="F28" s="37">
        <v>376000</v>
      </c>
      <c r="G28" s="36">
        <v>376000</v>
      </c>
      <c r="H28" s="36">
        <v>67680</v>
      </c>
      <c r="I28" s="36">
        <v>443680</v>
      </c>
    </row>
    <row r="29" spans="3:9" x14ac:dyDescent="0.35">
      <c r="C29" s="34">
        <v>12</v>
      </c>
      <c r="D29" s="35" t="s">
        <v>177</v>
      </c>
      <c r="E29" s="34">
        <v>1</v>
      </c>
      <c r="F29" s="37">
        <v>123000</v>
      </c>
      <c r="G29" s="36">
        <v>123000</v>
      </c>
      <c r="H29" s="36">
        <v>22140</v>
      </c>
      <c r="I29" s="36">
        <v>145140</v>
      </c>
    </row>
    <row r="30" spans="3:9" x14ac:dyDescent="0.35">
      <c r="C30" s="34">
        <v>13</v>
      </c>
      <c r="D30" s="35" t="s">
        <v>178</v>
      </c>
      <c r="E30" s="34">
        <v>109</v>
      </c>
      <c r="F30" s="37">
        <v>2600</v>
      </c>
      <c r="G30" s="36">
        <v>283400</v>
      </c>
      <c r="H30" s="36">
        <v>51012</v>
      </c>
      <c r="I30" s="36">
        <v>334412</v>
      </c>
    </row>
    <row r="31" spans="3:9" x14ac:dyDescent="0.35">
      <c r="C31" s="34">
        <v>14</v>
      </c>
      <c r="D31" s="35" t="s">
        <v>179</v>
      </c>
      <c r="E31" s="34">
        <v>1</v>
      </c>
      <c r="F31" s="37">
        <v>20378</v>
      </c>
      <c r="G31" s="36">
        <v>20377.5</v>
      </c>
      <c r="H31" s="36">
        <v>3668</v>
      </c>
      <c r="I31" s="36">
        <v>24045.45</v>
      </c>
    </row>
    <row r="32" spans="3:9" x14ac:dyDescent="0.35">
      <c r="C32" s="34">
        <v>15</v>
      </c>
      <c r="D32" s="35" t="s">
        <v>180</v>
      </c>
      <c r="E32" s="34">
        <v>1</v>
      </c>
      <c r="F32" s="36">
        <v>25602.5</v>
      </c>
      <c r="G32" s="36">
        <v>25602.5</v>
      </c>
      <c r="H32" s="36">
        <v>4608.5</v>
      </c>
      <c r="I32" s="36">
        <v>30210.95</v>
      </c>
    </row>
    <row r="33" spans="3:9" x14ac:dyDescent="0.35">
      <c r="C33" s="34">
        <v>16</v>
      </c>
      <c r="D33" s="35" t="s">
        <v>181</v>
      </c>
      <c r="E33" s="34">
        <v>1</v>
      </c>
      <c r="F33" s="37">
        <v>21285</v>
      </c>
      <c r="G33" s="36">
        <v>21285</v>
      </c>
      <c r="H33" s="36">
        <v>3831.3</v>
      </c>
      <c r="I33" s="36">
        <v>25116.3</v>
      </c>
    </row>
    <row r="34" spans="3:9" x14ac:dyDescent="0.35">
      <c r="C34" s="34">
        <v>17</v>
      </c>
      <c r="D34" s="35" t="s">
        <v>182</v>
      </c>
      <c r="E34" s="34">
        <v>1</v>
      </c>
      <c r="F34" s="37">
        <v>1900</v>
      </c>
      <c r="G34" s="36">
        <v>1900</v>
      </c>
      <c r="H34" s="34">
        <v>342</v>
      </c>
      <c r="I34" s="36">
        <v>2242</v>
      </c>
    </row>
    <row r="35" spans="3:9" x14ac:dyDescent="0.35">
      <c r="C35" s="34">
        <v>18</v>
      </c>
      <c r="D35" s="35" t="s">
        <v>183</v>
      </c>
      <c r="E35" s="34">
        <v>1</v>
      </c>
      <c r="F35" s="37">
        <v>1900</v>
      </c>
      <c r="G35" s="36">
        <v>1900</v>
      </c>
      <c r="H35" s="34">
        <v>342</v>
      </c>
      <c r="I35" s="36">
        <v>2242</v>
      </c>
    </row>
    <row r="36" spans="3:9" x14ac:dyDescent="0.35">
      <c r="C36" s="34">
        <v>19</v>
      </c>
      <c r="D36" s="35" t="s">
        <v>184</v>
      </c>
      <c r="E36" s="34">
        <v>1</v>
      </c>
      <c r="F36" s="38">
        <v>165000</v>
      </c>
      <c r="G36" s="39">
        <v>165000</v>
      </c>
      <c r="H36" s="36">
        <v>29700</v>
      </c>
      <c r="I36" s="36">
        <v>194700</v>
      </c>
    </row>
    <row r="37" spans="3:9" x14ac:dyDescent="0.35">
      <c r="C37" s="34">
        <v>20</v>
      </c>
      <c r="D37" s="35" t="s">
        <v>185</v>
      </c>
      <c r="E37" s="34">
        <v>1</v>
      </c>
      <c r="F37" s="37">
        <v>120000</v>
      </c>
      <c r="G37" s="36">
        <v>120000</v>
      </c>
      <c r="H37" s="36">
        <v>21600</v>
      </c>
      <c r="I37" s="36">
        <v>141600</v>
      </c>
    </row>
    <row r="38" spans="3:9" x14ac:dyDescent="0.35">
      <c r="C38" s="34">
        <v>21</v>
      </c>
      <c r="D38" s="35" t="s">
        <v>186</v>
      </c>
      <c r="E38" s="34">
        <v>1</v>
      </c>
      <c r="F38" s="37">
        <v>6300</v>
      </c>
      <c r="G38" s="36">
        <v>6300</v>
      </c>
      <c r="H38" s="36">
        <v>1134</v>
      </c>
      <c r="I38" s="36">
        <v>7434</v>
      </c>
    </row>
    <row r="39" spans="3:9" x14ac:dyDescent="0.35">
      <c r="C39" s="34">
        <v>22</v>
      </c>
      <c r="D39" s="35" t="s">
        <v>187</v>
      </c>
      <c r="E39" s="34">
        <v>1</v>
      </c>
      <c r="F39" s="37">
        <v>22000</v>
      </c>
      <c r="G39" s="36">
        <v>22000</v>
      </c>
      <c r="H39" s="36">
        <v>3960</v>
      </c>
      <c r="I39" s="36">
        <v>25960</v>
      </c>
    </row>
    <row r="40" spans="3:9" x14ac:dyDescent="0.35">
      <c r="C40" s="34">
        <v>23</v>
      </c>
      <c r="D40" s="35" t="s">
        <v>188</v>
      </c>
      <c r="E40" s="34">
        <v>1</v>
      </c>
      <c r="F40" s="37">
        <v>201000</v>
      </c>
      <c r="G40" s="36">
        <v>201000</v>
      </c>
      <c r="H40" s="36">
        <v>36180</v>
      </c>
      <c r="I40" s="36">
        <v>237180</v>
      </c>
    </row>
    <row r="41" spans="3:9" x14ac:dyDescent="0.35">
      <c r="C41" s="34">
        <v>24</v>
      </c>
      <c r="D41" s="35" t="s">
        <v>189</v>
      </c>
      <c r="E41" s="34" t="s">
        <v>157</v>
      </c>
      <c r="F41" s="37">
        <v>5500000</v>
      </c>
      <c r="G41" s="36">
        <v>5500000</v>
      </c>
      <c r="H41" s="36">
        <v>990000</v>
      </c>
      <c r="I41" s="36">
        <v>6490000</v>
      </c>
    </row>
    <row r="42" spans="3:9" x14ac:dyDescent="0.35">
      <c r="C42" s="34">
        <v>25</v>
      </c>
      <c r="D42" s="35" t="s">
        <v>190</v>
      </c>
      <c r="E42" s="34">
        <v>2</v>
      </c>
      <c r="F42" s="37">
        <v>625000</v>
      </c>
      <c r="G42" s="37">
        <v>1250000</v>
      </c>
      <c r="H42" s="36">
        <v>225000</v>
      </c>
      <c r="I42" s="36">
        <v>1475000</v>
      </c>
    </row>
    <row r="43" spans="3:9" x14ac:dyDescent="0.35">
      <c r="C43" s="34">
        <v>26</v>
      </c>
      <c r="D43" s="35" t="s">
        <v>191</v>
      </c>
      <c r="E43" s="34">
        <v>9</v>
      </c>
      <c r="F43" s="37">
        <v>20000</v>
      </c>
      <c r="G43" s="36">
        <v>180000</v>
      </c>
      <c r="H43" s="36">
        <v>32400</v>
      </c>
      <c r="I43" s="36">
        <v>212400</v>
      </c>
    </row>
    <row r="44" spans="3:9" x14ac:dyDescent="0.35">
      <c r="C44" s="34" t="s">
        <v>157</v>
      </c>
      <c r="D44" s="35" t="s">
        <v>157</v>
      </c>
      <c r="E44" s="34" t="s">
        <v>157</v>
      </c>
      <c r="F44" s="34" t="s">
        <v>157</v>
      </c>
      <c r="G44" s="34" t="s">
        <v>157</v>
      </c>
      <c r="H44" s="34" t="s">
        <v>157</v>
      </c>
      <c r="I44" s="34" t="s">
        <v>157</v>
      </c>
    </row>
    <row r="45" spans="3:9" ht="15.5" x14ac:dyDescent="0.35">
      <c r="C45" s="34" t="s">
        <v>157</v>
      </c>
      <c r="D45" s="40" t="s">
        <v>159</v>
      </c>
      <c r="E45" s="41" t="s">
        <v>157</v>
      </c>
      <c r="F45" s="41" t="s">
        <v>157</v>
      </c>
      <c r="G45" s="42">
        <v>36342718.5</v>
      </c>
      <c r="H45" s="42">
        <v>6541689.2999999998</v>
      </c>
      <c r="I45" s="43">
        <v>42884407.829999998</v>
      </c>
    </row>
  </sheetData>
  <mergeCells count="3">
    <mergeCell ref="C15:I16"/>
    <mergeCell ref="C1:E2"/>
    <mergeCell ref="B1:B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381E-2CC4-4EE6-8C52-1B026567D8CE}">
  <dimension ref="A1:S34"/>
  <sheetViews>
    <sheetView workbookViewId="0">
      <selection activeCell="D26" sqref="D26"/>
    </sheetView>
  </sheetViews>
  <sheetFormatPr defaultRowHeight="14.5" x14ac:dyDescent="0.35"/>
  <cols>
    <col min="2" max="2" width="12.54296875" bestFit="1" customWidth="1"/>
    <col min="3" max="3" width="30.7265625" bestFit="1" customWidth="1"/>
    <col min="4" max="4" width="17.54296875" customWidth="1"/>
    <col min="5" max="5" width="19.453125" bestFit="1" customWidth="1"/>
    <col min="6" max="6" width="18.54296875" bestFit="1" customWidth="1"/>
    <col min="7" max="7" width="9" customWidth="1"/>
    <col min="8" max="8" width="9.7265625" customWidth="1"/>
    <col min="9" max="9" width="11.26953125" customWidth="1"/>
    <col min="10" max="10" width="12.1796875" customWidth="1"/>
    <col min="11" max="11" width="16.1796875" bestFit="1" customWidth="1"/>
    <col min="12" max="12" width="14.26953125" bestFit="1" customWidth="1"/>
    <col min="13" max="13" width="13.54296875" bestFit="1" customWidth="1"/>
    <col min="14" max="14" width="12.54296875" bestFit="1" customWidth="1"/>
    <col min="15" max="15" width="21" bestFit="1" customWidth="1"/>
    <col min="16" max="16" width="14.26953125" bestFit="1" customWidth="1"/>
    <col min="17" max="17" width="22" bestFit="1" customWidth="1"/>
    <col min="18" max="18" width="22.7265625" bestFit="1" customWidth="1"/>
    <col min="19" max="19" width="16.26953125" bestFit="1" customWidth="1"/>
  </cols>
  <sheetData>
    <row r="1" spans="1:19" x14ac:dyDescent="0.35">
      <c r="A1" s="90" t="s">
        <v>192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19" x14ac:dyDescent="0.3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</row>
    <row r="3" spans="1:19" x14ac:dyDescent="0.3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</row>
    <row r="4" spans="1:19" x14ac:dyDescent="0.35">
      <c r="A4" t="s">
        <v>1</v>
      </c>
      <c r="B4" s="19" t="s">
        <v>193</v>
      </c>
      <c r="C4" s="19" t="s">
        <v>194</v>
      </c>
      <c r="D4" s="19" t="s">
        <v>195</v>
      </c>
      <c r="E4" s="19" t="s">
        <v>196</v>
      </c>
      <c r="F4" s="19" t="s">
        <v>197</v>
      </c>
      <c r="G4" s="19" t="s">
        <v>198</v>
      </c>
      <c r="H4" s="19" t="s">
        <v>199</v>
      </c>
      <c r="I4" s="19" t="s">
        <v>200</v>
      </c>
      <c r="J4" s="19" t="s">
        <v>201</v>
      </c>
      <c r="K4" s="19" t="s">
        <v>202</v>
      </c>
      <c r="L4" s="19" t="s">
        <v>203</v>
      </c>
      <c r="M4" s="19" t="s">
        <v>204</v>
      </c>
      <c r="N4" s="19" t="s">
        <v>205</v>
      </c>
      <c r="O4" s="19" t="s">
        <v>206</v>
      </c>
      <c r="P4" s="19" t="s">
        <v>207</v>
      </c>
      <c r="Q4" s="19" t="s">
        <v>208</v>
      </c>
      <c r="R4" s="19" t="s">
        <v>209</v>
      </c>
    </row>
    <row r="5" spans="1:19" x14ac:dyDescent="0.35">
      <c r="A5">
        <v>1</v>
      </c>
      <c r="B5">
        <v>8507145</v>
      </c>
      <c r="C5" t="s">
        <v>210</v>
      </c>
      <c r="D5" s="22">
        <v>39269099</v>
      </c>
      <c r="E5" t="s">
        <v>24</v>
      </c>
      <c r="F5" s="20">
        <v>46243</v>
      </c>
      <c r="G5" s="22">
        <v>55</v>
      </c>
      <c r="H5" t="s">
        <v>211</v>
      </c>
      <c r="I5">
        <v>375</v>
      </c>
      <c r="J5" t="s">
        <v>212</v>
      </c>
      <c r="K5">
        <v>230000339</v>
      </c>
      <c r="L5" t="s">
        <v>213</v>
      </c>
      <c r="M5" s="21">
        <v>20625</v>
      </c>
      <c r="N5" t="s">
        <v>24</v>
      </c>
      <c r="O5" t="s">
        <v>24</v>
      </c>
      <c r="P5" t="s">
        <v>24</v>
      </c>
      <c r="Q5" t="s">
        <v>24</v>
      </c>
      <c r="R5" t="s">
        <v>214</v>
      </c>
      <c r="S5" s="19"/>
    </row>
    <row r="6" spans="1:19" x14ac:dyDescent="0.35">
      <c r="A6">
        <v>2</v>
      </c>
      <c r="B6">
        <v>8507144</v>
      </c>
      <c r="C6" t="s">
        <v>215</v>
      </c>
      <c r="D6" s="22">
        <v>39269099</v>
      </c>
      <c r="E6" t="s">
        <v>24</v>
      </c>
      <c r="F6" s="20">
        <v>46243</v>
      </c>
      <c r="G6" s="22">
        <v>55</v>
      </c>
      <c r="H6" t="s">
        <v>211</v>
      </c>
      <c r="I6">
        <v>625</v>
      </c>
      <c r="J6" t="s">
        <v>212</v>
      </c>
      <c r="K6">
        <v>230000339</v>
      </c>
      <c r="L6" t="s">
        <v>216</v>
      </c>
      <c r="M6" s="21">
        <v>34375</v>
      </c>
      <c r="N6" t="s">
        <v>24</v>
      </c>
      <c r="O6" t="s">
        <v>24</v>
      </c>
      <c r="P6" t="s">
        <v>24</v>
      </c>
      <c r="Q6" t="s">
        <v>24</v>
      </c>
      <c r="R6" t="s">
        <v>214</v>
      </c>
    </row>
    <row r="7" spans="1:19" x14ac:dyDescent="0.35">
      <c r="A7">
        <v>3</v>
      </c>
      <c r="B7">
        <v>8507150</v>
      </c>
      <c r="C7" t="s">
        <v>217</v>
      </c>
      <c r="D7" s="22">
        <v>84806000</v>
      </c>
      <c r="E7" t="s">
        <v>24</v>
      </c>
      <c r="F7" s="20">
        <v>46243</v>
      </c>
      <c r="G7" s="22">
        <v>3</v>
      </c>
      <c r="H7" t="s">
        <v>211</v>
      </c>
      <c r="I7" s="21">
        <v>3700</v>
      </c>
      <c r="J7" t="s">
        <v>212</v>
      </c>
      <c r="K7">
        <v>230000339</v>
      </c>
      <c r="L7" t="s">
        <v>218</v>
      </c>
      <c r="M7" s="21">
        <v>11100</v>
      </c>
      <c r="N7" t="s">
        <v>24</v>
      </c>
      <c r="O7" t="s">
        <v>24</v>
      </c>
      <c r="P7" t="s">
        <v>24</v>
      </c>
      <c r="Q7" t="s">
        <v>24</v>
      </c>
      <c r="R7" t="s">
        <v>214</v>
      </c>
    </row>
    <row r="8" spans="1:19" x14ac:dyDescent="0.35">
      <c r="A8">
        <v>4</v>
      </c>
      <c r="B8">
        <v>8507146</v>
      </c>
      <c r="C8" t="s">
        <v>219</v>
      </c>
      <c r="D8" s="22">
        <v>84806000</v>
      </c>
      <c r="E8" t="s">
        <v>24</v>
      </c>
      <c r="F8" s="20">
        <v>46243</v>
      </c>
      <c r="G8" s="22">
        <v>3</v>
      </c>
      <c r="H8" t="s">
        <v>211</v>
      </c>
      <c r="I8" s="21">
        <v>2700</v>
      </c>
      <c r="J8" t="s">
        <v>212</v>
      </c>
      <c r="K8">
        <v>230000339</v>
      </c>
      <c r="L8" t="s">
        <v>220</v>
      </c>
      <c r="M8" s="21">
        <v>8100</v>
      </c>
      <c r="N8" t="s">
        <v>24</v>
      </c>
      <c r="O8" t="s">
        <v>24</v>
      </c>
      <c r="P8" t="s">
        <v>24</v>
      </c>
      <c r="Q8" t="s">
        <v>24</v>
      </c>
      <c r="R8" t="s">
        <v>214</v>
      </c>
    </row>
    <row r="9" spans="1:19" x14ac:dyDescent="0.35">
      <c r="A9">
        <v>5</v>
      </c>
      <c r="B9" t="s">
        <v>24</v>
      </c>
      <c r="C9" t="s">
        <v>221</v>
      </c>
      <c r="D9" s="22" t="s">
        <v>24</v>
      </c>
      <c r="E9" t="s">
        <v>222</v>
      </c>
      <c r="F9" s="20">
        <v>46295</v>
      </c>
      <c r="G9" s="22">
        <v>1</v>
      </c>
      <c r="H9" t="s">
        <v>211</v>
      </c>
      <c r="I9" t="s">
        <v>24</v>
      </c>
      <c r="J9" t="s">
        <v>24</v>
      </c>
      <c r="K9">
        <v>2300003390</v>
      </c>
      <c r="L9">
        <v>10</v>
      </c>
      <c r="M9" s="21">
        <v>1600000</v>
      </c>
      <c r="N9">
        <v>3500003227</v>
      </c>
      <c r="O9" t="s">
        <v>24</v>
      </c>
      <c r="P9" t="s">
        <v>24</v>
      </c>
      <c r="Q9" t="s">
        <v>24</v>
      </c>
      <c r="R9" t="s">
        <v>223</v>
      </c>
    </row>
    <row r="10" spans="1:19" x14ac:dyDescent="0.35">
      <c r="A10">
        <v>6</v>
      </c>
      <c r="B10" t="s">
        <v>24</v>
      </c>
      <c r="C10" t="s">
        <v>224</v>
      </c>
      <c r="D10" s="22" t="s">
        <v>24</v>
      </c>
      <c r="E10" t="s">
        <v>225</v>
      </c>
      <c r="F10" s="20">
        <v>46254</v>
      </c>
      <c r="G10" s="22">
        <v>1</v>
      </c>
      <c r="H10" t="s">
        <v>211</v>
      </c>
      <c r="I10" t="s">
        <v>24</v>
      </c>
      <c r="J10" t="s">
        <v>24</v>
      </c>
      <c r="K10">
        <v>2300003390</v>
      </c>
      <c r="L10">
        <v>20</v>
      </c>
      <c r="M10" s="21">
        <v>495000</v>
      </c>
      <c r="N10">
        <v>3500003230</v>
      </c>
      <c r="O10" t="s">
        <v>24</v>
      </c>
      <c r="P10" t="s">
        <v>24</v>
      </c>
      <c r="Q10" t="s">
        <v>24</v>
      </c>
      <c r="R10" t="s">
        <v>223</v>
      </c>
    </row>
    <row r="11" spans="1:19" x14ac:dyDescent="0.35">
      <c r="A11">
        <v>7</v>
      </c>
      <c r="B11" t="s">
        <v>24</v>
      </c>
      <c r="C11" t="s">
        <v>226</v>
      </c>
      <c r="D11" s="22" t="s">
        <v>24</v>
      </c>
      <c r="E11" t="s">
        <v>227</v>
      </c>
      <c r="F11" s="20">
        <v>46381</v>
      </c>
      <c r="G11" s="22">
        <v>1</v>
      </c>
      <c r="H11" t="s">
        <v>211</v>
      </c>
      <c r="I11" t="s">
        <v>24</v>
      </c>
      <c r="J11" t="s">
        <v>24</v>
      </c>
      <c r="K11">
        <v>2300003390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228</v>
      </c>
    </row>
    <row r="12" spans="1:19" x14ac:dyDescent="0.35">
      <c r="A12">
        <v>8</v>
      </c>
      <c r="B12" t="s">
        <v>24</v>
      </c>
      <c r="C12" t="s">
        <v>229</v>
      </c>
      <c r="D12" s="22" t="s">
        <v>24</v>
      </c>
      <c r="E12" t="s">
        <v>230</v>
      </c>
      <c r="F12" t="s">
        <v>24</v>
      </c>
      <c r="G12" s="22">
        <v>1</v>
      </c>
      <c r="H12" t="s">
        <v>211</v>
      </c>
      <c r="I12" t="s">
        <v>24</v>
      </c>
      <c r="J12" t="s">
        <v>24</v>
      </c>
      <c r="K12">
        <v>2300003501</v>
      </c>
      <c r="L12">
        <v>10</v>
      </c>
      <c r="M12" s="21">
        <v>195000</v>
      </c>
      <c r="N12" t="s">
        <v>24</v>
      </c>
      <c r="O12" t="s">
        <v>24</v>
      </c>
      <c r="P12" t="s">
        <v>24</v>
      </c>
      <c r="Q12" t="s">
        <v>24</v>
      </c>
      <c r="R12" t="s">
        <v>231</v>
      </c>
    </row>
    <row r="13" spans="1:19" x14ac:dyDescent="0.35">
      <c r="A13">
        <v>9</v>
      </c>
      <c r="B13" t="s">
        <v>24</v>
      </c>
      <c r="C13" t="s">
        <v>232</v>
      </c>
      <c r="D13" s="22" t="s">
        <v>24</v>
      </c>
      <c r="E13" t="s">
        <v>233</v>
      </c>
      <c r="F13" t="s">
        <v>24</v>
      </c>
      <c r="G13" s="22">
        <v>1</v>
      </c>
      <c r="H13" t="s">
        <v>211</v>
      </c>
      <c r="I13" t="s">
        <v>24</v>
      </c>
      <c r="J13" t="s">
        <v>24</v>
      </c>
      <c r="K13">
        <v>2300003391</v>
      </c>
      <c r="L13">
        <v>20</v>
      </c>
      <c r="M13" s="21">
        <v>130000</v>
      </c>
      <c r="N13" t="s">
        <v>24</v>
      </c>
      <c r="O13" t="s">
        <v>24</v>
      </c>
      <c r="P13" t="s">
        <v>24</v>
      </c>
      <c r="Q13" t="s">
        <v>24</v>
      </c>
      <c r="R13" t="s">
        <v>234</v>
      </c>
    </row>
    <row r="14" spans="1:19" x14ac:dyDescent="0.35">
      <c r="A14">
        <v>10</v>
      </c>
      <c r="B14" t="s">
        <v>24</v>
      </c>
      <c r="C14" t="s">
        <v>235</v>
      </c>
      <c r="D14" s="22" t="s">
        <v>24</v>
      </c>
      <c r="E14" t="s">
        <v>236</v>
      </c>
      <c r="F14" t="s">
        <v>24</v>
      </c>
      <c r="G14" s="22">
        <v>1</v>
      </c>
      <c r="H14" t="s">
        <v>211</v>
      </c>
      <c r="I14" t="s">
        <v>24</v>
      </c>
      <c r="J14" t="s">
        <v>24</v>
      </c>
      <c r="K14">
        <v>2300003391</v>
      </c>
      <c r="L14">
        <v>30</v>
      </c>
      <c r="M14" s="21">
        <v>7900</v>
      </c>
      <c r="N14" t="s">
        <v>24</v>
      </c>
      <c r="O14" t="s">
        <v>24</v>
      </c>
      <c r="P14" t="s">
        <v>24</v>
      </c>
      <c r="Q14" t="s">
        <v>24</v>
      </c>
      <c r="R14" t="s">
        <v>231</v>
      </c>
    </row>
    <row r="15" spans="1:19" x14ac:dyDescent="0.35">
      <c r="A15">
        <v>11</v>
      </c>
      <c r="B15" t="s">
        <v>24</v>
      </c>
      <c r="C15" t="s">
        <v>237</v>
      </c>
      <c r="D15" s="22" t="s">
        <v>24</v>
      </c>
      <c r="E15" t="s">
        <v>238</v>
      </c>
      <c r="F15" s="20">
        <v>46245</v>
      </c>
      <c r="G15" s="22">
        <v>1</v>
      </c>
      <c r="H15" t="s">
        <v>211</v>
      </c>
      <c r="I15" t="s">
        <v>24</v>
      </c>
      <c r="J15" t="s">
        <v>24</v>
      </c>
      <c r="K15">
        <v>2300003391</v>
      </c>
      <c r="L15">
        <v>40</v>
      </c>
      <c r="M15" s="21">
        <v>43650</v>
      </c>
      <c r="N15">
        <v>3500003266</v>
      </c>
      <c r="O15" t="s">
        <v>24</v>
      </c>
      <c r="P15" t="s">
        <v>24</v>
      </c>
      <c r="Q15" t="s">
        <v>24</v>
      </c>
      <c r="R15" t="s">
        <v>223</v>
      </c>
    </row>
    <row r="16" spans="1:19" x14ac:dyDescent="0.35">
      <c r="A16">
        <v>12</v>
      </c>
      <c r="B16" t="s">
        <v>24</v>
      </c>
      <c r="C16" t="s">
        <v>239</v>
      </c>
      <c r="D16" s="22" t="s">
        <v>24</v>
      </c>
      <c r="E16" t="s">
        <v>238</v>
      </c>
      <c r="F16" s="20">
        <v>46245</v>
      </c>
      <c r="G16" s="22">
        <v>1</v>
      </c>
      <c r="H16" t="s">
        <v>211</v>
      </c>
      <c r="I16" t="s">
        <v>24</v>
      </c>
      <c r="J16" t="s">
        <v>24</v>
      </c>
      <c r="K16">
        <v>2300003391</v>
      </c>
      <c r="L16">
        <v>50</v>
      </c>
      <c r="M16">
        <v>610</v>
      </c>
      <c r="N16">
        <v>3500003266</v>
      </c>
      <c r="O16" t="s">
        <v>24</v>
      </c>
      <c r="P16" t="s">
        <v>24</v>
      </c>
      <c r="Q16" t="s">
        <v>24</v>
      </c>
      <c r="R16" t="s">
        <v>223</v>
      </c>
    </row>
    <row r="17" spans="1:18" x14ac:dyDescent="0.35">
      <c r="A17">
        <v>13</v>
      </c>
      <c r="B17" t="s">
        <v>24</v>
      </c>
      <c r="C17" t="s">
        <v>240</v>
      </c>
      <c r="D17" s="22" t="s">
        <v>24</v>
      </c>
      <c r="E17" t="s">
        <v>238</v>
      </c>
      <c r="F17" s="20">
        <v>46245</v>
      </c>
      <c r="G17" s="22">
        <v>1</v>
      </c>
      <c r="H17" t="s">
        <v>211</v>
      </c>
      <c r="I17" t="s">
        <v>24</v>
      </c>
      <c r="J17" t="s">
        <v>24</v>
      </c>
      <c r="K17">
        <v>2300003391</v>
      </c>
      <c r="L17">
        <v>60</v>
      </c>
      <c r="M17">
        <v>675</v>
      </c>
      <c r="N17">
        <v>3500003266</v>
      </c>
      <c r="O17" t="s">
        <v>24</v>
      </c>
      <c r="P17" t="s">
        <v>24</v>
      </c>
      <c r="Q17" t="s">
        <v>24</v>
      </c>
      <c r="R17" t="s">
        <v>223</v>
      </c>
    </row>
    <row r="18" spans="1:18" x14ac:dyDescent="0.35">
      <c r="A18">
        <v>14</v>
      </c>
      <c r="B18" t="s">
        <v>24</v>
      </c>
      <c r="C18" t="s">
        <v>241</v>
      </c>
      <c r="D18" s="22" t="s">
        <v>24</v>
      </c>
      <c r="E18" t="s">
        <v>238</v>
      </c>
      <c r="F18" s="20">
        <v>46245</v>
      </c>
      <c r="G18" s="22">
        <v>1</v>
      </c>
      <c r="H18" t="s">
        <v>211</v>
      </c>
      <c r="I18" t="s">
        <v>24</v>
      </c>
      <c r="J18" t="s">
        <v>24</v>
      </c>
      <c r="K18">
        <v>2300003391</v>
      </c>
      <c r="L18">
        <v>70</v>
      </c>
      <c r="M18">
        <v>675</v>
      </c>
      <c r="N18">
        <v>3500003266</v>
      </c>
      <c r="O18" t="s">
        <v>24</v>
      </c>
      <c r="P18" t="s">
        <v>24</v>
      </c>
      <c r="Q18" t="s">
        <v>24</v>
      </c>
      <c r="R18" t="s">
        <v>223</v>
      </c>
    </row>
    <row r="19" spans="1:18" x14ac:dyDescent="0.35">
      <c r="A19">
        <v>15</v>
      </c>
      <c r="B19" t="s">
        <v>24</v>
      </c>
      <c r="C19" t="s">
        <v>242</v>
      </c>
      <c r="D19" s="22" t="s">
        <v>24</v>
      </c>
      <c r="E19" t="s">
        <v>238</v>
      </c>
      <c r="F19" s="20">
        <v>46245</v>
      </c>
      <c r="G19" s="22">
        <v>1</v>
      </c>
      <c r="H19" t="s">
        <v>211</v>
      </c>
      <c r="I19" t="s">
        <v>24</v>
      </c>
      <c r="J19" t="s">
        <v>24</v>
      </c>
      <c r="K19">
        <v>2300003391</v>
      </c>
      <c r="L19">
        <v>80</v>
      </c>
      <c r="M19">
        <v>675</v>
      </c>
      <c r="N19">
        <v>3500003266</v>
      </c>
      <c r="O19" t="s">
        <v>24</v>
      </c>
      <c r="P19" t="s">
        <v>24</v>
      </c>
      <c r="Q19" t="s">
        <v>24</v>
      </c>
      <c r="R19" t="s">
        <v>223</v>
      </c>
    </row>
    <row r="20" spans="1:18" x14ac:dyDescent="0.35">
      <c r="A20">
        <v>16</v>
      </c>
      <c r="B20" t="s">
        <v>24</v>
      </c>
      <c r="C20" t="s">
        <v>243</v>
      </c>
      <c r="D20" s="22" t="s">
        <v>24</v>
      </c>
      <c r="E20" t="s">
        <v>238</v>
      </c>
      <c r="F20" s="20">
        <v>46245</v>
      </c>
      <c r="G20" s="22">
        <v>1</v>
      </c>
      <c r="H20" t="s">
        <v>211</v>
      </c>
      <c r="I20" t="s">
        <v>24</v>
      </c>
      <c r="J20" t="s">
        <v>24</v>
      </c>
      <c r="K20">
        <v>2300003391</v>
      </c>
      <c r="L20">
        <v>90</v>
      </c>
      <c r="M20">
        <v>675</v>
      </c>
      <c r="N20">
        <v>3500003266</v>
      </c>
      <c r="O20" t="s">
        <v>24</v>
      </c>
      <c r="P20" t="s">
        <v>24</v>
      </c>
      <c r="Q20" t="s">
        <v>24</v>
      </c>
      <c r="R20" t="s">
        <v>223</v>
      </c>
    </row>
    <row r="21" spans="1:18" x14ac:dyDescent="0.35">
      <c r="A21">
        <v>17</v>
      </c>
      <c r="B21" t="s">
        <v>24</v>
      </c>
      <c r="C21" t="s">
        <v>244</v>
      </c>
      <c r="D21" s="22" t="s">
        <v>24</v>
      </c>
      <c r="E21" t="s">
        <v>238</v>
      </c>
      <c r="F21" s="20">
        <v>46245</v>
      </c>
      <c r="G21" s="22">
        <v>1</v>
      </c>
      <c r="H21" t="s">
        <v>211</v>
      </c>
      <c r="I21" t="s">
        <v>24</v>
      </c>
      <c r="J21" t="s">
        <v>24</v>
      </c>
      <c r="K21">
        <v>2300003391</v>
      </c>
      <c r="L21">
        <v>100</v>
      </c>
      <c r="M21">
        <v>675</v>
      </c>
      <c r="N21">
        <v>3500003266</v>
      </c>
      <c r="O21" t="s">
        <v>24</v>
      </c>
      <c r="P21" t="s">
        <v>24</v>
      </c>
      <c r="Q21" t="s">
        <v>24</v>
      </c>
      <c r="R21" t="s">
        <v>223</v>
      </c>
    </row>
    <row r="22" spans="1:18" x14ac:dyDescent="0.35">
      <c r="A22">
        <v>18</v>
      </c>
      <c r="B22" t="s">
        <v>24</v>
      </c>
      <c r="C22" t="s">
        <v>245</v>
      </c>
      <c r="D22" s="22" t="s">
        <v>24</v>
      </c>
      <c r="E22" t="s">
        <v>238</v>
      </c>
      <c r="F22" s="20">
        <v>46245</v>
      </c>
      <c r="G22" s="22">
        <v>1</v>
      </c>
      <c r="H22" t="s">
        <v>211</v>
      </c>
      <c r="I22" t="s">
        <v>24</v>
      </c>
      <c r="J22" t="s">
        <v>24</v>
      </c>
      <c r="K22">
        <v>2300003391</v>
      </c>
      <c r="L22">
        <v>110</v>
      </c>
      <c r="M22">
        <v>675</v>
      </c>
      <c r="N22">
        <v>3500003266</v>
      </c>
      <c r="O22" t="s">
        <v>24</v>
      </c>
      <c r="P22" t="s">
        <v>24</v>
      </c>
      <c r="Q22" t="s">
        <v>24</v>
      </c>
      <c r="R22" t="s">
        <v>223</v>
      </c>
    </row>
    <row r="23" spans="1:18" x14ac:dyDescent="0.35">
      <c r="A23">
        <v>19</v>
      </c>
      <c r="B23" t="s">
        <v>24</v>
      </c>
      <c r="C23" t="s">
        <v>246</v>
      </c>
      <c r="D23" s="22" t="s">
        <v>24</v>
      </c>
      <c r="E23" t="s">
        <v>238</v>
      </c>
      <c r="F23" s="20">
        <v>46245</v>
      </c>
      <c r="G23" s="22">
        <v>1</v>
      </c>
      <c r="H23" t="s">
        <v>211</v>
      </c>
      <c r="I23" t="s">
        <v>24</v>
      </c>
      <c r="J23" t="s">
        <v>24</v>
      </c>
      <c r="K23">
        <v>2300003391</v>
      </c>
      <c r="L23">
        <v>120</v>
      </c>
      <c r="M23">
        <v>765</v>
      </c>
      <c r="N23">
        <v>3500003266</v>
      </c>
      <c r="O23" t="s">
        <v>24</v>
      </c>
      <c r="P23" t="s">
        <v>24</v>
      </c>
      <c r="Q23" t="s">
        <v>24</v>
      </c>
      <c r="R23" t="s">
        <v>223</v>
      </c>
    </row>
    <row r="24" spans="1:18" x14ac:dyDescent="0.35">
      <c r="A24">
        <v>20</v>
      </c>
      <c r="B24" t="s">
        <v>24</v>
      </c>
      <c r="C24" t="s">
        <v>247</v>
      </c>
      <c r="D24" s="22" t="s">
        <v>24</v>
      </c>
      <c r="E24" t="s">
        <v>238</v>
      </c>
      <c r="F24" s="20">
        <v>46245</v>
      </c>
      <c r="G24" s="22">
        <v>1</v>
      </c>
      <c r="H24" t="s">
        <v>211</v>
      </c>
      <c r="I24" t="s">
        <v>24</v>
      </c>
      <c r="J24" t="s">
        <v>24</v>
      </c>
      <c r="K24">
        <v>2300003391</v>
      </c>
      <c r="L24">
        <v>130</v>
      </c>
      <c r="M24" s="21">
        <v>1350</v>
      </c>
      <c r="N24">
        <v>3500003266</v>
      </c>
      <c r="O24" t="s">
        <v>24</v>
      </c>
      <c r="P24" t="s">
        <v>24</v>
      </c>
      <c r="Q24" t="s">
        <v>24</v>
      </c>
      <c r="R24" t="s">
        <v>223</v>
      </c>
    </row>
    <row r="25" spans="1:18" x14ac:dyDescent="0.35">
      <c r="A25">
        <v>21</v>
      </c>
      <c r="B25" t="s">
        <v>24</v>
      </c>
      <c r="C25" t="s">
        <v>248</v>
      </c>
      <c r="D25" s="22" t="s">
        <v>24</v>
      </c>
      <c r="E25" t="s">
        <v>238</v>
      </c>
      <c r="F25" s="20">
        <v>46245</v>
      </c>
      <c r="G25" s="22">
        <v>1</v>
      </c>
      <c r="H25" t="s">
        <v>211</v>
      </c>
      <c r="I25" t="s">
        <v>24</v>
      </c>
      <c r="J25" t="s">
        <v>24</v>
      </c>
      <c r="K25">
        <v>2300003391</v>
      </c>
      <c r="L25">
        <v>140</v>
      </c>
      <c r="M25">
        <v>675</v>
      </c>
      <c r="N25">
        <v>3500003266</v>
      </c>
      <c r="O25" t="s">
        <v>24</v>
      </c>
      <c r="P25" t="s">
        <v>24</v>
      </c>
      <c r="Q25" t="s">
        <v>24</v>
      </c>
      <c r="R25" t="s">
        <v>223</v>
      </c>
    </row>
    <row r="26" spans="1:18" x14ac:dyDescent="0.35">
      <c r="A26">
        <v>22</v>
      </c>
      <c r="B26" t="s">
        <v>24</v>
      </c>
      <c r="C26" t="s">
        <v>249</v>
      </c>
      <c r="D26" s="22" t="s">
        <v>24</v>
      </c>
      <c r="E26" t="s">
        <v>250</v>
      </c>
      <c r="F26" s="20">
        <v>46295</v>
      </c>
      <c r="G26" s="22">
        <v>1</v>
      </c>
      <c r="H26" t="s">
        <v>211</v>
      </c>
      <c r="I26" t="s">
        <v>24</v>
      </c>
      <c r="J26" t="s">
        <v>24</v>
      </c>
      <c r="K26">
        <v>2300003391</v>
      </c>
      <c r="L26">
        <v>150</v>
      </c>
      <c r="M26" s="21">
        <v>500000</v>
      </c>
      <c r="N26" t="s">
        <v>24</v>
      </c>
      <c r="O26" t="s">
        <v>24</v>
      </c>
      <c r="P26" t="s">
        <v>24</v>
      </c>
      <c r="Q26" t="s">
        <v>24</v>
      </c>
      <c r="R26" t="s">
        <v>251</v>
      </c>
    </row>
    <row r="27" spans="1:18" x14ac:dyDescent="0.35">
      <c r="A27">
        <v>23</v>
      </c>
      <c r="B27" t="s">
        <v>24</v>
      </c>
      <c r="C27" t="s">
        <v>252</v>
      </c>
      <c r="D27" s="22" t="s">
        <v>24</v>
      </c>
      <c r="E27" t="s">
        <v>253</v>
      </c>
      <c r="F27" s="20">
        <v>46325</v>
      </c>
      <c r="G27" s="22">
        <v>1</v>
      </c>
      <c r="H27" t="s">
        <v>211</v>
      </c>
      <c r="I27" t="s">
        <v>24</v>
      </c>
      <c r="J27" t="s">
        <v>24</v>
      </c>
      <c r="K27">
        <v>2300003391</v>
      </c>
      <c r="L27">
        <v>160</v>
      </c>
      <c r="M27" s="21">
        <v>372000</v>
      </c>
      <c r="N27" t="s">
        <v>24</v>
      </c>
      <c r="O27" t="s">
        <v>24</v>
      </c>
      <c r="P27" t="s">
        <v>24</v>
      </c>
      <c r="Q27" t="s">
        <v>24</v>
      </c>
      <c r="R27" t="s">
        <v>228</v>
      </c>
    </row>
    <row r="28" spans="1:18" x14ac:dyDescent="0.35">
      <c r="A28">
        <v>24</v>
      </c>
      <c r="B28" t="s">
        <v>24</v>
      </c>
      <c r="C28" t="s">
        <v>172</v>
      </c>
      <c r="D28" s="22" t="s">
        <v>24</v>
      </c>
      <c r="E28" t="s">
        <v>254</v>
      </c>
      <c r="F28" s="20">
        <v>46341</v>
      </c>
      <c r="G28" s="22">
        <v>1</v>
      </c>
      <c r="H28" t="s">
        <v>211</v>
      </c>
      <c r="I28" t="s">
        <v>24</v>
      </c>
      <c r="J28" t="s">
        <v>24</v>
      </c>
      <c r="K28">
        <v>2300003391</v>
      </c>
      <c r="L28">
        <v>180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251</v>
      </c>
    </row>
    <row r="29" spans="1:18" x14ac:dyDescent="0.35">
      <c r="A29">
        <v>25</v>
      </c>
      <c r="B29" t="s">
        <v>24</v>
      </c>
      <c r="C29" t="s">
        <v>173</v>
      </c>
      <c r="D29" s="22" t="s">
        <v>24</v>
      </c>
      <c r="E29" t="s">
        <v>255</v>
      </c>
      <c r="F29" s="20">
        <v>46280</v>
      </c>
      <c r="G29" s="22">
        <v>1</v>
      </c>
      <c r="H29" t="s">
        <v>211</v>
      </c>
      <c r="I29" t="s">
        <v>24</v>
      </c>
      <c r="J29" t="s">
        <v>24</v>
      </c>
      <c r="K29">
        <v>2300003391</v>
      </c>
      <c r="L29">
        <v>190</v>
      </c>
      <c r="M29" s="21">
        <v>572292</v>
      </c>
      <c r="N29" t="s">
        <v>24</v>
      </c>
      <c r="O29" t="s">
        <v>24</v>
      </c>
      <c r="P29" t="s">
        <v>24</v>
      </c>
      <c r="Q29" t="s">
        <v>24</v>
      </c>
      <c r="R29" t="s">
        <v>228</v>
      </c>
    </row>
    <row r="30" spans="1:18" x14ac:dyDescent="0.35">
      <c r="A30">
        <v>26</v>
      </c>
      <c r="B30" t="s">
        <v>24</v>
      </c>
      <c r="C30" t="s">
        <v>256</v>
      </c>
      <c r="D30" s="22" t="s">
        <v>24</v>
      </c>
      <c r="E30" t="s">
        <v>238</v>
      </c>
      <c r="F30" s="20">
        <v>46245</v>
      </c>
      <c r="G30" s="22">
        <v>1</v>
      </c>
      <c r="H30" t="s">
        <v>211</v>
      </c>
      <c r="I30" t="s">
        <v>24</v>
      </c>
      <c r="J30" t="s">
        <v>24</v>
      </c>
      <c r="K30">
        <v>2300003391</v>
      </c>
      <c r="L30">
        <v>200</v>
      </c>
      <c r="M30" s="21">
        <v>2200</v>
      </c>
      <c r="N30">
        <v>3500003266</v>
      </c>
      <c r="O30" t="s">
        <v>24</v>
      </c>
      <c r="P30" t="s">
        <v>24</v>
      </c>
      <c r="Q30" t="s">
        <v>24</v>
      </c>
      <c r="R30" t="s">
        <v>223</v>
      </c>
    </row>
    <row r="31" spans="1:18" x14ac:dyDescent="0.35">
      <c r="A31">
        <v>27</v>
      </c>
      <c r="B31" t="s">
        <v>24</v>
      </c>
      <c r="C31" t="s">
        <v>257</v>
      </c>
      <c r="D31" s="22" t="s">
        <v>24</v>
      </c>
      <c r="E31" t="s">
        <v>238</v>
      </c>
      <c r="F31" s="20">
        <v>46245</v>
      </c>
      <c r="G31" s="22">
        <v>1</v>
      </c>
      <c r="H31" t="s">
        <v>211</v>
      </c>
      <c r="I31" t="s">
        <v>24</v>
      </c>
      <c r="J31" t="s">
        <v>24</v>
      </c>
      <c r="K31">
        <v>2300003391</v>
      </c>
      <c r="L31">
        <v>210</v>
      </c>
      <c r="M31" s="21">
        <v>13050</v>
      </c>
      <c r="N31">
        <v>3500003266</v>
      </c>
      <c r="O31" t="s">
        <v>24</v>
      </c>
      <c r="P31" t="s">
        <v>24</v>
      </c>
      <c r="Q31" t="s">
        <v>24</v>
      </c>
      <c r="R31" t="s">
        <v>223</v>
      </c>
    </row>
    <row r="32" spans="1:18" x14ac:dyDescent="0.35">
      <c r="A32">
        <v>28</v>
      </c>
      <c r="B32" t="s">
        <v>24</v>
      </c>
      <c r="C32" t="s">
        <v>258</v>
      </c>
      <c r="D32" s="22" t="s">
        <v>24</v>
      </c>
      <c r="E32" t="s">
        <v>238</v>
      </c>
      <c r="F32" s="20">
        <v>46245</v>
      </c>
      <c r="G32" s="22">
        <v>1</v>
      </c>
      <c r="H32" t="s">
        <v>211</v>
      </c>
      <c r="I32" t="s">
        <v>24</v>
      </c>
      <c r="J32" t="s">
        <v>24</v>
      </c>
      <c r="K32">
        <v>2300003391</v>
      </c>
      <c r="L32">
        <v>230</v>
      </c>
      <c r="M32" s="21">
        <v>9450</v>
      </c>
      <c r="N32">
        <v>3500003266</v>
      </c>
      <c r="O32" t="s">
        <v>24</v>
      </c>
      <c r="P32" t="s">
        <v>24</v>
      </c>
      <c r="Q32" t="s">
        <v>24</v>
      </c>
      <c r="R32" t="s">
        <v>223</v>
      </c>
    </row>
    <row r="33" spans="1:18" x14ac:dyDescent="0.35">
      <c r="A33">
        <v>29</v>
      </c>
      <c r="B33" t="s">
        <v>24</v>
      </c>
      <c r="C33" t="s">
        <v>259</v>
      </c>
      <c r="D33" s="22" t="s">
        <v>24</v>
      </c>
      <c r="E33" t="s">
        <v>238</v>
      </c>
      <c r="F33" s="20">
        <v>46245</v>
      </c>
      <c r="G33" s="22">
        <v>1</v>
      </c>
      <c r="H33" t="s">
        <v>211</v>
      </c>
      <c r="I33" t="s">
        <v>24</v>
      </c>
      <c r="J33" t="s">
        <v>24</v>
      </c>
      <c r="K33">
        <v>2300003391</v>
      </c>
      <c r="L33">
        <v>240</v>
      </c>
      <c r="M33" s="21">
        <v>10350</v>
      </c>
      <c r="N33">
        <v>3500003266</v>
      </c>
      <c r="O33" t="s">
        <v>24</v>
      </c>
      <c r="P33" t="s">
        <v>24</v>
      </c>
      <c r="Q33" t="s">
        <v>24</v>
      </c>
      <c r="R33" t="s">
        <v>223</v>
      </c>
    </row>
    <row r="34" spans="1:18" x14ac:dyDescent="0.35">
      <c r="A34">
        <v>30</v>
      </c>
      <c r="B34" t="s">
        <v>24</v>
      </c>
      <c r="C34" t="s">
        <v>260</v>
      </c>
      <c r="D34" s="22" t="s">
        <v>24</v>
      </c>
      <c r="E34" t="s">
        <v>238</v>
      </c>
      <c r="F34" s="20">
        <v>46245</v>
      </c>
      <c r="G34" s="22">
        <v>1</v>
      </c>
      <c r="H34" t="s">
        <v>211</v>
      </c>
      <c r="I34" t="s">
        <v>24</v>
      </c>
      <c r="J34" t="s">
        <v>24</v>
      </c>
      <c r="K34">
        <v>2300003391</v>
      </c>
      <c r="L34">
        <v>250</v>
      </c>
      <c r="M34" s="21">
        <v>9800</v>
      </c>
      <c r="N34">
        <v>3500003266</v>
      </c>
      <c r="O34" t="s">
        <v>24</v>
      </c>
      <c r="P34" t="s">
        <v>24</v>
      </c>
      <c r="Q34" t="s">
        <v>24</v>
      </c>
      <c r="R34" t="s">
        <v>223</v>
      </c>
    </row>
  </sheetData>
  <mergeCells count="1">
    <mergeCell ref="A1:R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Sheet2</vt:lpstr>
      <vt:lpstr>Materials &amp; Inventory</vt:lpstr>
      <vt:lpstr>Human Resources </vt:lpstr>
      <vt:lpstr>Casting and Testing Activity</vt:lpstr>
      <vt:lpstr>Flow Table Test </vt:lpstr>
      <vt:lpstr>Compression Test </vt:lpstr>
      <vt:lpstr>Flexural  Test </vt:lpstr>
      <vt:lpstr>Budget</vt:lpstr>
      <vt:lpstr>SCM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Kumar P</dc:creator>
  <cp:keywords/>
  <dc:description/>
  <cp:lastModifiedBy>M.SIVA SRI  UMA BAGAVATHI</cp:lastModifiedBy>
  <cp:revision/>
  <dcterms:created xsi:type="dcterms:W3CDTF">2026-09-03T04:05:11Z</dcterms:created>
  <dcterms:modified xsi:type="dcterms:W3CDTF">2026-09-07T10:50:41Z</dcterms:modified>
  <cp:category/>
  <cp:contentStatus/>
</cp:coreProperties>
</file>