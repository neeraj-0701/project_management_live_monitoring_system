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3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shboard" sheetId="1" r:id="rId5"/>
    <sheet state="hidden" name="Sheet2" sheetId="2" r:id="rId6"/>
    <sheet state="visible" name="Materials &amp; Inventory" sheetId="3" r:id="rId7"/>
    <sheet state="visible" name="Human Resources " sheetId="4" r:id="rId8"/>
    <sheet state="visible" name="Casting and Testing Activity" sheetId="5" r:id="rId9"/>
    <sheet state="visible" name="Flow Table Test " sheetId="6" r:id="rId10"/>
    <sheet state="visible" name="Compression Test " sheetId="7" r:id="rId11"/>
    <sheet state="visible" name="Flexural  Test " sheetId="8" r:id="rId12"/>
    <sheet state="visible" name="Budget" sheetId="9" r:id="rId13"/>
    <sheet state="visible" name="SCM" sheetId="10" r:id="rId14"/>
  </sheets>
  <definedNames>
    <definedName hidden="1" localSheetId="8" name="Z_6C72D682_EAEE_477A_BDE6_36D0FA496517_.wvu.FilterData">Budget!$C$17:$I$45</definedName>
    <definedName hidden="1" localSheetId="9" name="Z_1ED7DC4F_DC9D_4FD0_B25C_C9B307B5EF38_.wvu.FilterData">SCM!$A$4:$A$34</definedName>
    <definedName hidden="1" localSheetId="6" name="Z_8BD04D99_3797_4623_A7A9_2B1BE462C8CA_.wvu.FilterData">'Compression Test '!$A$4:$X$13</definedName>
    <definedName hidden="1" localSheetId="7" name="Z_06E92754_EC84_4BA5_AAFA_B5B233FA3576_.wvu.FilterData">'Flexural  Test '!$A$3:$Y$12</definedName>
    <definedName hidden="1" localSheetId="7" name="Z_7BD334A5_F796_4193_B9ED_39A8B31E6DB1_.wvu.FilterData">'Flexural  Test '!$AE$3:$AM$12</definedName>
    <definedName hidden="1" localSheetId="0" name="Z_9889C79D_6559_4DA3_8D35_97513C03DF50_.wvu.FilterData">Dashboard!$B$33:$C$36</definedName>
    <definedName hidden="1" localSheetId="9" name="Z_B146F2D7_73B6_4232_92D6_805A54558D9A_.wvu.FilterData">SCM!$B$4:$R$34</definedName>
    <definedName hidden="1" localSheetId="5" name="Z_DE5B299E_A46F_45E1_BDE2_00F27E9D1C6D_.wvu.FilterData">'Flow Table Test '!$A$4:$R$13</definedName>
    <definedName hidden="1" localSheetId="6" name="Z_30285386_1D27_458E_AFB8_8D67F6D04A61_.wvu.FilterData">'Compression Test '!$Y$4:$AC$13</definedName>
    <definedName hidden="1" localSheetId="3" name="Z_3437F7CE_ED81_4B73_8B76_B2230F1D5E75_.wvu.FilterData">'Human Resources '!$A$5:$O$14</definedName>
    <definedName hidden="1" localSheetId="2" name="Z_802F3ABE_A5F2_4534_B4B7_BB303E98BD3C_.wvu.FilterData">'Materials &amp; Inventory'!$A$12:$T$21</definedName>
    <definedName hidden="1" localSheetId="4" name="Z_B9866DC5_8F9B_417F_AFE8_F2959B714FC6_.wvu.FilterData">'Casting and Testing Activity'!$H$7:$H$16</definedName>
    <definedName hidden="1" localSheetId="4" name="Z_0950B62F_89B8_4B13_BDF4_F1F45C6A6672_.wvu.FilterData">'Casting and Testing Activity'!$A$27:$AG$30</definedName>
    <definedName hidden="1" localSheetId="7" name="Z_DD335A9C_E708_4748_838E_B96FCD572F96_.wvu.FilterData">'Flexural  Test '!$Z$3:$AD$12</definedName>
    <definedName hidden="1" localSheetId="4" name="Z_63871BF6_8297_43B9_9E06_B3505895C93D_.wvu.FilterData">'Casting and Testing Activity'!$A$7:$G$16</definedName>
  </definedNames>
  <calcPr/>
  <customWorkbookViews>
    <customWorkbookView activeSheetId="0" maximized="1" windowHeight="0" windowWidth="0" guid="{6C72D682-EAEE-477A-BDE6-36D0FA496517}" name="Table10 filter view"/>
    <customWorkbookView activeSheetId="0" maximized="1" windowHeight="0" windowWidth="0" guid="{1ED7DC4F-DC9D-4FD0-B25C-C9B307B5EF38}" name="Table8 filter view"/>
    <customWorkbookView activeSheetId="0" maximized="1" windowHeight="0" windowWidth="0" guid="{8BD04D99-3797-4623-A7A9-2B1BE462C8CA}" name="Table1345 filter view"/>
    <customWorkbookView activeSheetId="0" maximized="1" windowHeight="0" windowWidth="0" guid="{06E92754-EC84-4BA5-AAFA-B5B233FA3576}" name="Table134510 filter view"/>
    <customWorkbookView activeSheetId="0" maximized="1" windowHeight="0" windowWidth="0" guid="{7BD334A5-F796-4193-B9ED-39A8B31E6DB1}" name="Table12 filter view"/>
    <customWorkbookView activeSheetId="0" maximized="1" windowHeight="0" windowWidth="0" guid="{9889C79D-6559-4DA3-8D35-97513C03DF50}" name="Table19 filter view"/>
    <customWorkbookView activeSheetId="0" maximized="1" windowHeight="0" windowWidth="0" guid="{B146F2D7-73B6-4232-92D6-805A54558D9A}" name="Table7 filter view"/>
    <customWorkbookView activeSheetId="0" maximized="1" windowHeight="0" windowWidth="0" guid="{DE5B299E-A46F-45E1-BDE2-00F27E9D1C6D}" name="Table134 filter view"/>
    <customWorkbookView activeSheetId="0" maximized="1" windowHeight="0" windowWidth="0" guid="{30285386-1D27-458E-AFB8-8D67F6D04A61}" name="Table6 filter view"/>
    <customWorkbookView activeSheetId="0" maximized="1" windowHeight="0" windowWidth="0" guid="{3437F7CE-ED81-4B73-8B76-B2230F1D5E75}" name="Table13 filter view"/>
    <customWorkbookView activeSheetId="0" maximized="1" windowHeight="0" windowWidth="0" guid="{802F3ABE-A5F2-4534-B4B7-BB303E98BD3C}" name="Table1 filter view"/>
    <customWorkbookView activeSheetId="0" maximized="1" windowHeight="0" windowWidth="0" guid="{B9866DC5-8F9B-417F-AFE8-F2959B714FC6}" name="Table15 filter view"/>
    <customWorkbookView activeSheetId="0" maximized="1" windowHeight="0" windowWidth="0" guid="{0950B62F-89B8-4B13-BDF4-F1F45C6A6672}" name="Table5 filter view"/>
    <customWorkbookView activeSheetId="0" maximized="1" windowHeight="0" windowWidth="0" guid="{DD335A9C-E708-4748-838E-B96FCD572F96}" name="Table612 filter view"/>
    <customWorkbookView activeSheetId="0" maximized="1" windowHeight="0" windowWidth="0" guid="{63871BF6-8297-43B9-9E06-B3505895C93D}" name="Table14 filter view"/>
  </customWorkbookViews>
</workbook>
</file>

<file path=xl/sharedStrings.xml><?xml version="1.0" encoding="utf-8"?>
<sst xmlns="http://schemas.openxmlformats.org/spreadsheetml/2006/main" count="656" uniqueCount="301">
  <si>
    <t>Human  Resources</t>
  </si>
  <si>
    <t>Status</t>
  </si>
  <si>
    <t>Count</t>
  </si>
  <si>
    <t>Test</t>
  </si>
  <si>
    <t xml:space="preserve">No of Test </t>
  </si>
  <si>
    <t>Adequate</t>
  </si>
  <si>
    <t xml:space="preserve">Compression </t>
  </si>
  <si>
    <t>Materials &amp; Inventory</t>
  </si>
  <si>
    <t xml:space="preserve">Low </t>
  </si>
  <si>
    <t>S.No</t>
  </si>
  <si>
    <t xml:space="preserve">Flexural Test </t>
  </si>
  <si>
    <t>Date</t>
  </si>
  <si>
    <t xml:space="preserve">Employee Name </t>
  </si>
  <si>
    <t>Designation</t>
  </si>
  <si>
    <t>Critical</t>
  </si>
  <si>
    <t>work Category</t>
  </si>
  <si>
    <t xml:space="preserve">Task </t>
  </si>
  <si>
    <t xml:space="preserve">Description </t>
  </si>
  <si>
    <t xml:space="preserve">Start Time </t>
  </si>
  <si>
    <t>Flow Test</t>
  </si>
  <si>
    <t>End Time</t>
  </si>
  <si>
    <t xml:space="preserve">Task Status </t>
  </si>
  <si>
    <t xml:space="preserve">output/ Result </t>
  </si>
  <si>
    <t xml:space="preserve">Issue / Problem </t>
  </si>
  <si>
    <t>Corrective Action</t>
  </si>
  <si>
    <t xml:space="preserve">Supervisor </t>
  </si>
  <si>
    <t>Remarks</t>
  </si>
  <si>
    <t>Dr. Revanth Kumar</t>
  </si>
  <si>
    <t>Dr. Anand Raj</t>
  </si>
  <si>
    <t>Material ID</t>
  </si>
  <si>
    <t>Material</t>
  </si>
  <si>
    <t>Category</t>
  </si>
  <si>
    <t>Supplier</t>
  </si>
  <si>
    <t xml:space="preserve">Mirityun </t>
  </si>
  <si>
    <t>Unit</t>
  </si>
  <si>
    <t>Opening Stock</t>
  </si>
  <si>
    <t>Received</t>
  </si>
  <si>
    <t>Consumed</t>
  </si>
  <si>
    <t>Closing Stock</t>
  </si>
  <si>
    <t>Minimum Stock</t>
  </si>
  <si>
    <t>Required Stock</t>
  </si>
  <si>
    <t>Order Quantity</t>
  </si>
  <si>
    <t>Stock Status</t>
  </si>
  <si>
    <t>Purchase Required</t>
  </si>
  <si>
    <t>Purchase Priority</t>
  </si>
  <si>
    <t>Neeraj</t>
  </si>
  <si>
    <t>Critical Unique</t>
  </si>
  <si>
    <t>Stock Status2</t>
  </si>
  <si>
    <t>CEM001</t>
  </si>
  <si>
    <t>OPC 53</t>
  </si>
  <si>
    <t>Cement</t>
  </si>
  <si>
    <t>ABC Cement</t>
  </si>
  <si>
    <t>kg</t>
  </si>
  <si>
    <t xml:space="preserve">Siva sri </t>
  </si>
  <si>
    <t>Yazhini</t>
  </si>
  <si>
    <t>—</t>
  </si>
  <si>
    <t xml:space="preserve">MIX ID </t>
  </si>
  <si>
    <t>CEM002</t>
  </si>
  <si>
    <t>Flyash</t>
  </si>
  <si>
    <t>SCM's</t>
  </si>
  <si>
    <t>Mix ID</t>
  </si>
  <si>
    <t xml:space="preserve">Date </t>
  </si>
  <si>
    <t>Target Flow (mm)</t>
  </si>
  <si>
    <t>Target Compressive Strength</t>
  </si>
  <si>
    <t>Target Flexural Strength</t>
  </si>
  <si>
    <t xml:space="preserve">Status </t>
  </si>
  <si>
    <t>Reorder</t>
  </si>
  <si>
    <t>CEM003</t>
  </si>
  <si>
    <t>GGBS</t>
  </si>
  <si>
    <t>R &amp; D LAB MANAGEMENT DASHBOARD</t>
  </si>
  <si>
    <t>Materials • Testing • Casting • Resources • Budget</t>
  </si>
  <si>
    <t>TOTAL MATERIALS</t>
  </si>
  <si>
    <t>CEM004</t>
  </si>
  <si>
    <t>CASTING ACTIVITIES</t>
  </si>
  <si>
    <t>Super Plastizier</t>
  </si>
  <si>
    <t>TOTAL TESTS</t>
  </si>
  <si>
    <t>Admixture</t>
  </si>
  <si>
    <t>CRITICAL MATERIALS</t>
  </si>
  <si>
    <t>TOTAL BUDGET</t>
  </si>
  <si>
    <t>CEM005</t>
  </si>
  <si>
    <t>Steel Fibres</t>
  </si>
  <si>
    <t>Casting And Testing Activity</t>
  </si>
  <si>
    <t>Material To Buy</t>
  </si>
  <si>
    <t>Budget Status</t>
  </si>
  <si>
    <t xml:space="preserve">Mix ID </t>
  </si>
  <si>
    <t xml:space="preserve">Batch No </t>
  </si>
  <si>
    <t xml:space="preserve">Target Volume </t>
  </si>
  <si>
    <t>S. No</t>
  </si>
  <si>
    <t>Actual Volume</t>
  </si>
  <si>
    <t xml:space="preserve">Cement </t>
  </si>
  <si>
    <t xml:space="preserve">Material </t>
  </si>
  <si>
    <t xml:space="preserve">Silica Fume </t>
  </si>
  <si>
    <t>Total Budget</t>
  </si>
  <si>
    <t xml:space="preserve">GGBS </t>
  </si>
  <si>
    <t>Utilized</t>
  </si>
  <si>
    <t xml:space="preserve">Limestone  Powder </t>
  </si>
  <si>
    <t>Balance</t>
  </si>
  <si>
    <t xml:space="preserve">Quartz Powder/ Sand </t>
  </si>
  <si>
    <t>Water</t>
  </si>
  <si>
    <t>Superplasticizer</t>
  </si>
  <si>
    <t>SRA</t>
  </si>
  <si>
    <t>Fibre</t>
  </si>
  <si>
    <t>Total Binder</t>
  </si>
  <si>
    <t>W/b Ratio</t>
  </si>
  <si>
    <t>SP Dosage</t>
  </si>
  <si>
    <t>Fibre Volume %</t>
  </si>
  <si>
    <t xml:space="preserve">Mixing  Start Time </t>
  </si>
  <si>
    <t xml:space="preserve">Mixing  End Time </t>
  </si>
  <si>
    <t>Humidity</t>
  </si>
  <si>
    <t>Mixing Duration</t>
  </si>
  <si>
    <t>Casting  Start</t>
  </si>
  <si>
    <t>Cast Completion</t>
  </si>
  <si>
    <t xml:space="preserve">Number Of Specimen </t>
  </si>
  <si>
    <t>Mould Type</t>
  </si>
  <si>
    <t xml:space="preserve">Demoulding Date </t>
  </si>
  <si>
    <t xml:space="preserve">Curing Method </t>
  </si>
  <si>
    <t xml:space="preserve">Curing Temperature </t>
  </si>
  <si>
    <t xml:space="preserve">Responsible ET </t>
  </si>
  <si>
    <t xml:space="preserve">Observation </t>
  </si>
  <si>
    <t>Budget Utilization</t>
  </si>
  <si>
    <t xml:space="preserve">Flow Table Test </t>
  </si>
  <si>
    <t xml:space="preserve">Trail ID </t>
  </si>
  <si>
    <t>Test Standard</t>
  </si>
  <si>
    <t xml:space="preserve">Ambient Temperature </t>
  </si>
  <si>
    <t xml:space="preserve">UHPC Temperature </t>
  </si>
  <si>
    <t>d1 (mm)</t>
  </si>
  <si>
    <t>d2(mm)</t>
  </si>
  <si>
    <t>D1-D2</t>
  </si>
  <si>
    <t>Average speed =  (d1+d2)/2 (mm)</t>
  </si>
  <si>
    <t>Flow Table  (mm)</t>
  </si>
  <si>
    <t xml:space="preserve">Stabilization Time </t>
  </si>
  <si>
    <t>Segregation</t>
  </si>
  <si>
    <t>w/b Ratio</t>
  </si>
  <si>
    <t xml:space="preserve">SP Dosage </t>
  </si>
  <si>
    <t xml:space="preserve">SRA Dosage </t>
  </si>
  <si>
    <t>Compressive Strength Test</t>
  </si>
  <si>
    <t xml:space="preserve">Test ID </t>
  </si>
  <si>
    <t xml:space="preserve">Time </t>
  </si>
  <si>
    <t xml:space="preserve">Batch ID </t>
  </si>
  <si>
    <t xml:space="preserve">Specimen ID </t>
  </si>
  <si>
    <t xml:space="preserve">Test Standard </t>
  </si>
  <si>
    <t xml:space="preserve">Casting Date </t>
  </si>
  <si>
    <t xml:space="preserve">Target Age </t>
  </si>
  <si>
    <t xml:space="preserve">Actual Age </t>
  </si>
  <si>
    <t xml:space="preserve">Testing Temperature </t>
  </si>
  <si>
    <t>Specimen Type</t>
  </si>
  <si>
    <t>Nominal Length</t>
  </si>
  <si>
    <t>Nominal Width</t>
  </si>
  <si>
    <t>Nominal Height</t>
  </si>
  <si>
    <t>Measured Length</t>
  </si>
  <si>
    <t>Mesured Width</t>
  </si>
  <si>
    <t>Measured Height</t>
  </si>
  <si>
    <t>Diameter ( cylindrical Specimen )</t>
  </si>
  <si>
    <t xml:space="preserve">Cross sectional Area </t>
  </si>
  <si>
    <t>Loading Rate  (Mpa/s)</t>
  </si>
  <si>
    <t>Maximum Load (KN)</t>
  </si>
  <si>
    <t xml:space="preserve">Failure Type </t>
  </si>
  <si>
    <t xml:space="preserve">Faliure Observation </t>
  </si>
  <si>
    <t>Compressive Strength Mpa</t>
  </si>
  <si>
    <t>Target Strength Mpa</t>
  </si>
  <si>
    <t xml:space="preserve">Remarks </t>
  </si>
  <si>
    <t>Summary Bangalore Plant Capex for Approval</t>
  </si>
  <si>
    <t>Cost Head</t>
  </si>
  <si>
    <t xml:space="preserve"> Basic Amount </t>
  </si>
  <si>
    <t>GST@18%</t>
  </si>
  <si>
    <t>Civil Work</t>
  </si>
  <si>
    <t xml:space="preserve">Test Type </t>
  </si>
  <si>
    <t>Plant &amp; Machinery</t>
  </si>
  <si>
    <t>R&amp;D Center</t>
  </si>
  <si>
    <t>Consultancy</t>
  </si>
  <si>
    <t xml:space="preserve">Misc (Store, Labour Qtrs, etc) </t>
  </si>
  <si>
    <t>Sub - Total</t>
  </si>
  <si>
    <t>Land Value</t>
  </si>
  <si>
    <t xml:space="preserve">Notched /Unnotched </t>
  </si>
  <si>
    <t> </t>
  </si>
  <si>
    <t xml:space="preserve"> Length (mm)</t>
  </si>
  <si>
    <t xml:space="preserve"> Width (mm)</t>
  </si>
  <si>
    <t>Pre Operative Expense</t>
  </si>
  <si>
    <t xml:space="preserve"> Height (mm)</t>
  </si>
  <si>
    <t>Total</t>
  </si>
  <si>
    <t xml:space="preserve">Fibre Type </t>
  </si>
  <si>
    <t>Fibre Length (mm)</t>
  </si>
  <si>
    <t>R&amp;D Center Budget Details</t>
  </si>
  <si>
    <t>Fibre Volume  (%)</t>
  </si>
  <si>
    <t>Notch Depth (mm)</t>
  </si>
  <si>
    <t>Notch Width (mm)</t>
  </si>
  <si>
    <t>Support Span (mm)</t>
  </si>
  <si>
    <t>Loading Direction</t>
  </si>
  <si>
    <t>Loading Rate (mm/min)</t>
  </si>
  <si>
    <t>First Crack Load (KN)</t>
  </si>
  <si>
    <t>First Crack Deflection (mm)</t>
  </si>
  <si>
    <t>First Crack Stress (Mpa)</t>
  </si>
  <si>
    <t>Column 1</t>
  </si>
  <si>
    <t>Lab equipment</t>
  </si>
  <si>
    <t>Peak Load (KN)</t>
  </si>
  <si>
    <t>Peak Deflection (mm)</t>
  </si>
  <si>
    <t>No's</t>
  </si>
  <si>
    <t>Crack Opening at Peak (mm)</t>
  </si>
  <si>
    <t>Flexuarl Strength (Mpa)</t>
  </si>
  <si>
    <t>Residual Strength (Mpa)</t>
  </si>
  <si>
    <t>Basic</t>
  </si>
  <si>
    <t>Ultimate Deflection (mm)</t>
  </si>
  <si>
    <t>Toughness (j)</t>
  </si>
  <si>
    <t xml:space="preserve">Failure Mode </t>
  </si>
  <si>
    <t xml:space="preserve"> gst(18%) </t>
  </si>
  <si>
    <t>total</t>
  </si>
  <si>
    <t>Compression Testing M/c-FTM-3000/350kN </t>
  </si>
  <si>
    <t>Sieve Shaker</t>
  </si>
  <si>
    <t xml:space="preserve">SCM Equipments and Instruments </t>
  </si>
  <si>
    <t>Microwave oven</t>
  </si>
  <si>
    <t>Item Code</t>
  </si>
  <si>
    <t>Mortar Mixer-5 Liter </t>
  </si>
  <si>
    <t>Item Description</t>
  </si>
  <si>
    <t>HSN</t>
  </si>
  <si>
    <t>Supplier / Vendor</t>
  </si>
  <si>
    <t>Delivery Date</t>
  </si>
  <si>
    <t>Qty</t>
  </si>
  <si>
    <t>UOM</t>
  </si>
  <si>
    <t>Rate (₹)</t>
  </si>
  <si>
    <t>Tax</t>
  </si>
  <si>
    <t>Mortar Mixer-20 Liter </t>
  </si>
  <si>
    <t>Purchase Req.</t>
  </si>
  <si>
    <t>Line Item</t>
  </si>
  <si>
    <t>Amount (₹)</t>
  </si>
  <si>
    <t>PO No.</t>
  </si>
  <si>
    <t>Received Qty</t>
  </si>
  <si>
    <t>Pending Qty</t>
  </si>
  <si>
    <t>Actual Delivery Date</t>
  </si>
  <si>
    <t>Purchase Status</t>
  </si>
  <si>
    <t>Concrete Mixer-Pan</t>
  </si>
  <si>
    <t>PVC Cube Mould – 50 × 50 × 50</t>
  </si>
  <si>
    <t>Concrete Grinding Machine</t>
  </si>
  <si>
    <t>NOS</t>
  </si>
  <si>
    <t>IGST 18%</t>
  </si>
  <si>
    <t>1/420</t>
  </si>
  <si>
    <t>Ordered</t>
  </si>
  <si>
    <t>Automatic Vicat Apparatus</t>
  </si>
  <si>
    <t>Plastic Mould – 100 × 100 × 100 mm</t>
  </si>
  <si>
    <t>1/410</t>
  </si>
  <si>
    <t>V Funnel Apparatus</t>
  </si>
  <si>
    <t>Beam Mould – 100 × 100 × 500 mm</t>
  </si>
  <si>
    <t>Humidity Chamber</t>
  </si>
  <si>
    <t>1/460</t>
  </si>
  <si>
    <t>Curing tank</t>
  </si>
  <si>
    <t>Cube Mould – 40 × 40 × 160</t>
  </si>
  <si>
    <t>1/430</t>
  </si>
  <si>
    <t>Dust Extraction/Ventilation</t>
  </si>
  <si>
    <t>Twin Shaft Mixer – UHPC Purpose Operated through Servo Motor</t>
  </si>
  <si>
    <t>BHS / Elba</t>
  </si>
  <si>
    <t>Plastic Mould-100 x 100 x 100 mm (steeel /Plastic)</t>
  </si>
  <si>
    <t>PO Released</t>
  </si>
  <si>
    <t>Compression Testing Machine</t>
  </si>
  <si>
    <t>KAIZEN</t>
  </si>
  <si>
    <t>Dessicator Non-Vacuum Type-200mm dia</t>
  </si>
  <si>
    <t>Dessicator Vacuum Type-250mm dia</t>
  </si>
  <si>
    <t>Compression Testing Machine – Flexure Option / Servo Valve</t>
  </si>
  <si>
    <t>Controls / Testing</t>
  </si>
  <si>
    <t>Vacuum Pump for Dessicator-1/4 HP</t>
  </si>
  <si>
    <t>In Approval</t>
  </si>
  <si>
    <t>Muffle Furnace</t>
  </si>
  <si>
    <t>Srintha Scientific</t>
  </si>
  <si>
    <t>Scoop for soil and Concrete </t>
  </si>
  <si>
    <t>Revised PR Pending</t>
  </si>
  <si>
    <t>Vibro Sieve Shaker – Sand Segregation</t>
  </si>
  <si>
    <t>JS Vibro</t>
  </si>
  <si>
    <t>Scoop, Stainless Steel-Capacity 2kg.</t>
  </si>
  <si>
    <t>In Audit</t>
  </si>
  <si>
    <t>Restrained Shrinkage Ring </t>
  </si>
  <si>
    <t>Microwave Oven</t>
  </si>
  <si>
    <t>Moglix / LG</t>
  </si>
  <si>
    <t xml:space="preserve"> Analytical balance</t>
  </si>
  <si>
    <t>Hot Air Oven</t>
  </si>
  <si>
    <t>Sai Krishna</t>
  </si>
  <si>
    <t xml:space="preserve"> Benchtop balance</t>
  </si>
  <si>
    <t>Pycnometer Bottles – Binders and Aggregates</t>
  </si>
  <si>
    <t xml:space="preserve"> platform balance</t>
  </si>
  <si>
    <t>Sieve Brass Frame 20 cm × 4.75 mm</t>
  </si>
  <si>
    <t xml:space="preserve"> Muffle furnace</t>
  </si>
  <si>
    <t>Interior design</t>
  </si>
  <si>
    <t>Sieve Brass Frame 20 cm × 2.36 mm</t>
  </si>
  <si>
    <t xml:space="preserve"> Curing Tank ( Heat Cool )</t>
  </si>
  <si>
    <t>Sieve Brass Frame 20 cm × 1.18 mm</t>
  </si>
  <si>
    <t>ASR Moulds</t>
  </si>
  <si>
    <t>Sieve Brass Frame 20 cm × 600 microns</t>
  </si>
  <si>
    <t>Sieve Brass Frame 20 cm × 300 microns</t>
  </si>
  <si>
    <t>Sieve Brass Frame 20 cm × 150 microns</t>
  </si>
  <si>
    <t>Sieve Brass Frame 20 cm × 75 microns</t>
  </si>
  <si>
    <t>Sieve Brass Frame 20 cm × 45 microns</t>
  </si>
  <si>
    <t>Pan and Cover for 20 cm Sieves</t>
  </si>
  <si>
    <t>Mortar Mixer – 5 Liter</t>
  </si>
  <si>
    <t>Hobart</t>
  </si>
  <si>
    <t>Commercial Negotiation</t>
  </si>
  <si>
    <t>Mortar Mixer – 20 Liter</t>
  </si>
  <si>
    <t>Mecons</t>
  </si>
  <si>
    <t>U Test</t>
  </si>
  <si>
    <t>Chirayu / Controls</t>
  </si>
  <si>
    <t>Slump Test Accessories</t>
  </si>
  <si>
    <t>Mortar Flow Table Accessories</t>
  </si>
  <si>
    <t>J Ring Apparatus</t>
  </si>
  <si>
    <t>L Box Apparatus</t>
  </si>
  <si>
    <t>U Box Test Apparatus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</si>
</sst>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&quot;₹&quot;\ #,##0.00"/>
  </numFmts>
  <fonts count="33">
    <font>
      <sz val="11.0"/>
      <color theme="1"/>
      <name val="Calibri"/>
      <scheme val="minor"/>
    </font>
    <font>
      <sz val="11.0"/>
      <color theme="1"/>
      <name val="Calibri"/>
    </font>
    <font>
      <color theme="1"/>
      <name val="Calibri"/>
      <scheme val="minor"/>
    </font>
    <font>
      <b/>
      <sz val="22.0"/>
      <color theme="1"/>
      <name val="Calibri"/>
    </font>
    <font/>
    <font>
      <sz val="11.0"/>
      <color rgb="FFFFFFFF"/>
      <name val="Calibri"/>
    </font>
    <font>
      <b/>
      <sz val="11.0"/>
      <color rgb="FFFFFFFF"/>
      <name val="Calibri"/>
    </font>
    <font>
      <b/>
      <sz val="11.0"/>
      <color theme="1"/>
      <name val="Calibri"/>
    </font>
    <font>
      <b/>
      <sz val="15.0"/>
      <color rgb="FF1F3864"/>
      <name val="Calibri"/>
    </font>
    <font>
      <sz val="24.0"/>
      <color theme="1"/>
      <name val="Calibri"/>
    </font>
    <font>
      <b/>
      <sz val="11.0"/>
      <color theme="0"/>
      <name val="Calibri"/>
    </font>
    <font>
      <b/>
      <sz val="25.0"/>
      <color rgb="FF2F5496"/>
      <name val="Calibri"/>
    </font>
    <font>
      <b/>
      <sz val="20.0"/>
      <color theme="1"/>
      <name val="Calibri"/>
    </font>
    <font>
      <b/>
      <sz val="15.0"/>
      <color theme="1"/>
      <name val="Calibri"/>
    </font>
    <font>
      <sz val="30.0"/>
      <color rgb="FF1E4E79"/>
      <name val="Calibri"/>
    </font>
    <font>
      <sz val="26.0"/>
      <color theme="1"/>
      <name val="Calibri"/>
    </font>
    <font>
      <b/>
      <sz val="26.0"/>
      <color theme="1"/>
      <name val="Calibri"/>
    </font>
    <font>
      <b/>
      <sz val="28.0"/>
      <color theme="1"/>
      <name val="Calibri"/>
    </font>
    <font>
      <b/>
      <sz val="24.0"/>
      <color rgb="FFFFFFFF"/>
      <name val="Calibri"/>
    </font>
    <font>
      <sz val="25.0"/>
      <color theme="1"/>
      <name val="Calibri"/>
    </font>
    <font>
      <b/>
      <sz val="16.0"/>
      <color theme="1"/>
      <name val="Calibri"/>
    </font>
    <font>
      <sz val="20.0"/>
      <color theme="1"/>
      <name val="Calibri"/>
    </font>
    <font>
      <sz val="10.0"/>
      <color theme="1"/>
      <name val="Calibri"/>
    </font>
    <font>
      <sz val="30.0"/>
      <color theme="1"/>
      <name val="Calibri"/>
    </font>
    <font>
      <b/>
      <sz val="11.0"/>
      <color rgb="FF000000"/>
      <name val="Calibri"/>
    </font>
    <font>
      <sz val="11.0"/>
      <color rgb="FF000000"/>
      <name val="Calibri"/>
    </font>
    <font>
      <b/>
      <sz val="24.0"/>
      <color rgb="FF000000"/>
      <name val="Calibri"/>
    </font>
    <font>
      <sz val="12.0"/>
      <color rgb="FF000000"/>
      <name val="Book Antiqua"/>
    </font>
    <font>
      <b/>
      <sz val="12.0"/>
      <color rgb="FF000000"/>
      <name val="Book Antiqua"/>
    </font>
    <font>
      <sz val="10.0"/>
      <color rgb="FF000000"/>
      <name val="Book Antiqua"/>
    </font>
    <font>
      <sz val="15.0"/>
      <color rgb="FF000000"/>
      <name val="Calibri"/>
    </font>
    <font>
      <color rgb="FFFFFFFF"/>
      <name val="Calibri"/>
      <scheme val="minor"/>
    </font>
    <font>
      <b/>
      <sz val="10.0"/>
      <color rgb="FF000000"/>
      <name val="Book Antiqua"/>
    </font>
  </fonts>
  <fills count="10">
    <fill>
      <patternFill patternType="none"/>
    </fill>
    <fill>
      <patternFill patternType="lightGray"/>
    </fill>
    <fill>
      <patternFill patternType="solid">
        <fgColor theme="5"/>
        <bgColor theme="5"/>
      </patternFill>
    </fill>
    <fill>
      <patternFill patternType="solid">
        <fgColor rgb="FF2E75B5"/>
        <bgColor rgb="FF2E75B5"/>
      </patternFill>
    </fill>
    <fill>
      <patternFill patternType="solid">
        <fgColor rgb="FFC8C8C8"/>
        <bgColor rgb="FFC8C8C8"/>
      </patternFill>
    </fill>
    <fill>
      <patternFill patternType="solid">
        <fgColor theme="0"/>
        <bgColor theme="0"/>
      </patternFill>
    </fill>
    <fill>
      <patternFill patternType="solid">
        <fgColor theme="4"/>
        <bgColor theme="4"/>
      </patternFill>
    </fill>
    <fill>
      <patternFill patternType="solid">
        <fgColor rgb="FFD9E2F3"/>
        <bgColor rgb="FFD9E2F3"/>
      </patternFill>
    </fill>
    <fill>
      <patternFill patternType="solid">
        <fgColor rgb="FF8EAADB"/>
        <bgColor rgb="FF8EAADB"/>
      </patternFill>
    </fill>
    <fill>
      <patternFill patternType="solid">
        <fgColor rgb="FFD9E1F2"/>
        <bgColor rgb="FFD9E1F2"/>
      </patternFill>
    </fill>
  </fills>
  <borders count="32">
    <border/>
    <border>
      <left/>
      <top/>
    </border>
    <border>
      <top/>
    </border>
    <border>
      <right/>
      <top/>
    </border>
    <border>
      <left/>
    </border>
    <border>
      <right/>
    </border>
    <border>
      <left/>
      <bottom/>
    </border>
    <border>
      <bottom/>
    </border>
    <border>
      <right/>
      <bottom/>
    </border>
    <border>
      <left/>
      <right/>
      <top/>
      <bottom/>
    </border>
    <border>
      <left/>
      <right/>
      <top/>
      <bottom style="thin">
        <color rgb="FF8EAADB"/>
      </bottom>
    </border>
    <border>
      <left/>
      <right/>
      <top style="thin">
        <color rgb="FF8EAADB"/>
      </top>
      <bottom style="thin">
        <color rgb="FF8EAADB"/>
      </bottom>
    </border>
    <border>
      <top style="thin">
        <color rgb="FF8EAADB"/>
      </top>
      <bottom style="thin">
        <color rgb="FF8EAADB"/>
      </bottom>
    </border>
    <border>
      <left/>
      <top/>
      <bottom/>
    </border>
    <border>
      <top/>
      <bottom/>
    </border>
    <border>
      <right/>
      <top/>
      <bottom/>
    </border>
    <border>
      <left/>
      <right/>
      <top style="thin">
        <color rgb="FF8EAADB"/>
      </top>
      <bottom/>
    </border>
    <border>
      <left/>
      <right/>
      <top/>
    </border>
    <border>
      <left/>
      <right/>
      <bottom/>
    </border>
    <border>
      <left/>
      <bottom style="thin">
        <color rgb="FF000000"/>
      </bottom>
    </border>
    <border>
      <bottom style="thin">
        <color rgb="FF000000"/>
      </bottom>
    </border>
    <border>
      <right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105">
    <xf borderId="0" fillId="0" fontId="0" numFmtId="0" xfId="0" applyAlignment="1" applyFont="1">
      <alignment readingOrder="0" shrinkToFit="0" vertical="bottom" wrapText="0"/>
    </xf>
    <xf borderId="0" fillId="0" fontId="1" numFmtId="9" xfId="0" applyFont="1" applyNumberFormat="1"/>
    <xf borderId="0" fillId="0" fontId="2" numFmtId="0" xfId="0" applyFont="1"/>
    <xf borderId="1" fillId="2" fontId="3" numFmtId="0" xfId="0" applyAlignment="1" applyBorder="1" applyFill="1" applyFont="1">
      <alignment horizontal="center" vertical="center"/>
    </xf>
    <xf borderId="2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5" fillId="0" fontId="4" numFmtId="0" xfId="0" applyBorder="1" applyFont="1"/>
    <xf borderId="6" fillId="0" fontId="4" numFmtId="0" xfId="0" applyBorder="1" applyFont="1"/>
    <xf borderId="7" fillId="0" fontId="4" numFmtId="0" xfId="0" applyBorder="1" applyFont="1"/>
    <xf borderId="8" fillId="0" fontId="4" numFmtId="0" xfId="0" applyBorder="1" applyFont="1"/>
    <xf borderId="1" fillId="3" fontId="3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left" readingOrder="0" shrinkToFit="0" vertical="center" wrapText="0"/>
    </xf>
    <xf borderId="0" fillId="0" fontId="6" numFmtId="0" xfId="0" applyAlignment="1" applyFont="1">
      <alignment horizontal="left" readingOrder="0" shrinkToFit="0" vertical="center" wrapText="1"/>
    </xf>
    <xf borderId="0" fillId="0" fontId="7" numFmtId="0" xfId="0" applyAlignment="1" applyFont="1">
      <alignment horizontal="right" shrinkToFit="0" vertical="center" wrapText="1"/>
    </xf>
    <xf borderId="0" fillId="0" fontId="2" numFmtId="0" xfId="0" applyAlignment="1" applyFont="1">
      <alignment shrinkToFit="0" vertical="center" wrapText="0"/>
    </xf>
    <xf borderId="0" fillId="0" fontId="1" numFmtId="15" xfId="0" applyAlignment="1" applyFont="1" applyNumberFormat="1">
      <alignment shrinkToFit="0" vertical="center" wrapText="1"/>
    </xf>
    <xf borderId="1" fillId="4" fontId="8" numFmtId="0" xfId="0" applyAlignment="1" applyBorder="1" applyFill="1" applyFont="1">
      <alignment horizontal="center" vertical="center"/>
    </xf>
    <xf borderId="0" fillId="0" fontId="1" numFmtId="0" xfId="0" applyAlignment="1" applyFont="1">
      <alignment shrinkToFit="0" vertical="center" wrapText="1"/>
    </xf>
    <xf borderId="0" fillId="0" fontId="1" numFmtId="0" xfId="0" applyAlignment="1" applyFont="1">
      <alignment horizontal="right" shrinkToFit="0" vertical="center" wrapText="1"/>
    </xf>
    <xf borderId="1" fillId="4" fontId="8" numFmtId="0" xfId="0" applyAlignment="1" applyBorder="1" applyFill="1" applyFont="1">
      <alignment horizontal="center" shrinkToFit="0" vertical="center" wrapText="1"/>
    </xf>
    <xf borderId="0" fillId="0" fontId="1" numFmtId="0" xfId="0" applyAlignment="1" applyFont="1">
      <alignment horizontal="right" shrinkToFit="0" vertical="center" wrapText="1"/>
    </xf>
    <xf borderId="0" fillId="0" fontId="1" numFmtId="0" xfId="0" applyAlignment="1" applyFont="1">
      <alignment vertical="center"/>
    </xf>
    <xf borderId="1" fillId="2" fontId="9" numFmtId="0" xfId="0" applyAlignment="1" applyBorder="1" applyFill="1" applyFont="1">
      <alignment horizontal="center"/>
    </xf>
    <xf borderId="9" fillId="5" fontId="1" numFmtId="0" xfId="0" applyBorder="1" applyFill="1" applyFont="1"/>
    <xf borderId="10" fillId="6" fontId="10" numFmtId="0" xfId="0" applyAlignment="1" applyBorder="1" applyFill="1" applyFont="1">
      <alignment horizontal="center" readingOrder="0" shrinkToFit="0" vertical="center" wrapText="0"/>
    </xf>
    <xf borderId="10" fillId="6" fontId="10" numFmtId="0" xfId="0" applyAlignment="1" applyBorder="1" applyFill="1" applyFont="1">
      <alignment horizontal="center" readingOrder="0" shrinkToFit="0" vertical="center" wrapText="1"/>
    </xf>
    <xf borderId="0" fillId="0" fontId="5" numFmtId="0" xfId="0" applyAlignment="1" applyFont="1">
      <alignment horizontal="center" readingOrder="0" shrinkToFit="0" vertical="center" wrapText="0"/>
    </xf>
    <xf borderId="11" fillId="7" fontId="1" numFmtId="0" xfId="0" applyAlignment="1" applyBorder="1" applyFill="1" applyFont="1">
      <alignment shrinkToFit="0" vertical="center" wrapText="0"/>
    </xf>
    <xf borderId="11" fillId="7" fontId="1" numFmtId="15" xfId="0" applyAlignment="1" applyBorder="1" applyFill="1" applyFont="1" applyNumberFormat="1">
      <alignment shrinkToFit="0" vertical="center" wrapText="1"/>
    </xf>
    <xf borderId="11" fillId="7" fontId="1" numFmtId="0" xfId="0" applyAlignment="1" applyBorder="1" applyFill="1" applyFont="1">
      <alignment shrinkToFit="0" vertical="center" wrapText="1"/>
    </xf>
    <xf borderId="12" fillId="0" fontId="1" numFmtId="0" xfId="0" applyAlignment="1" applyBorder="1" applyFont="1">
      <alignment shrinkToFit="0" vertical="center" wrapText="0"/>
    </xf>
    <xf borderId="12" fillId="0" fontId="1" numFmtId="15" xfId="0" applyAlignment="1" applyBorder="1" applyFont="1" applyNumberFormat="1">
      <alignment shrinkToFit="0" vertical="center" wrapText="1"/>
    </xf>
    <xf borderId="12" fillId="0" fontId="1" numFmtId="0" xfId="0" applyAlignment="1" applyBorder="1" applyFont="1">
      <alignment shrinkToFit="0" vertical="center" wrapText="1"/>
    </xf>
    <xf borderId="1" fillId="2" fontId="11" numFmtId="0" xfId="0" applyAlignment="1" applyBorder="1" applyFill="1" applyFont="1">
      <alignment horizontal="center" vertical="center"/>
    </xf>
    <xf borderId="1" fillId="2" fontId="1" numFmtId="0" xfId="0" applyAlignment="1" applyBorder="1" applyFill="1" applyFont="1">
      <alignment horizontal="center"/>
    </xf>
    <xf borderId="0" fillId="0" fontId="12" numFmtId="0" xfId="0" applyAlignment="1" applyFont="1">
      <alignment horizontal="center"/>
    </xf>
    <xf borderId="13" fillId="5" fontId="13" numFmtId="0" xfId="0" applyAlignment="1" applyBorder="1" applyFill="1" applyFont="1">
      <alignment horizontal="center"/>
    </xf>
    <xf borderId="14" fillId="0" fontId="4" numFmtId="0" xfId="0" applyBorder="1" applyFont="1"/>
    <xf borderId="15" fillId="0" fontId="4" numFmtId="0" xfId="0" applyBorder="1" applyFont="1"/>
    <xf borderId="0" fillId="0" fontId="13" numFmtId="0" xfId="0" applyAlignment="1" applyFont="1">
      <alignment horizontal="center"/>
    </xf>
    <xf borderId="1" fillId="8" fontId="14" numFmtId="0" xfId="0" applyAlignment="1" applyBorder="1" applyFill="1" applyFont="1">
      <alignment horizontal="center" vertical="center"/>
    </xf>
    <xf borderId="16" fillId="7" fontId="1" numFmtId="0" xfId="0" applyAlignment="1" applyBorder="1" applyFill="1" applyFont="1">
      <alignment shrinkToFit="0" vertical="center" wrapText="0"/>
    </xf>
    <xf borderId="16" fillId="7" fontId="1" numFmtId="15" xfId="0" applyAlignment="1" applyBorder="1" applyFill="1" applyFont="1" applyNumberFormat="1">
      <alignment shrinkToFit="0" vertical="center" wrapText="1"/>
    </xf>
    <xf borderId="1" fillId="8" fontId="14" numFmtId="3" xfId="0" applyAlignment="1" applyBorder="1" applyFill="1" applyFont="1" applyNumberFormat="1">
      <alignment horizontal="center" vertical="center"/>
    </xf>
    <xf borderId="16" fillId="7" fontId="1" numFmtId="0" xfId="0" applyAlignment="1" applyBorder="1" applyFill="1" applyFont="1">
      <alignment shrinkToFit="0" vertical="center" wrapText="1"/>
    </xf>
    <xf borderId="17" fillId="2" fontId="1" numFmtId="0" xfId="0" applyAlignment="1" applyBorder="1" applyFill="1" applyFont="1">
      <alignment horizontal="center"/>
    </xf>
    <xf borderId="0" fillId="0" fontId="7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8" fillId="0" fontId="4" numFmtId="0" xfId="0" applyBorder="1" applyFont="1"/>
    <xf borderId="0" fillId="0" fontId="1" numFmtId="0" xfId="0" applyAlignment="1" applyFont="1">
      <alignment horizontal="center"/>
    </xf>
    <xf borderId="0" fillId="0" fontId="15" numFmtId="0" xfId="0" applyFont="1"/>
    <xf borderId="1" fillId="2" fontId="16" numFmtId="0" xfId="0" applyAlignment="1" applyBorder="1" applyFill="1" applyFont="1">
      <alignment horizontal="center"/>
    </xf>
    <xf borderId="0" fillId="0" fontId="1" numFmtId="0" xfId="0" applyFont="1"/>
    <xf borderId="11" fillId="6" fontId="10" numFmtId="0" xfId="0" applyAlignment="1" applyBorder="1" applyFill="1" applyFont="1">
      <alignment horizontal="left" readingOrder="0" shrinkToFit="0" vertical="center" wrapText="0"/>
    </xf>
    <xf borderId="0" fillId="0" fontId="17" numFmtId="0" xfId="0" applyAlignment="1" applyFont="1">
      <alignment horizontal="center"/>
    </xf>
    <xf borderId="11" fillId="6" fontId="10" numFmtId="0" xfId="0" applyAlignment="1" applyBorder="1" applyFill="1" applyFont="1">
      <alignment horizontal="left" readingOrder="0" shrinkToFit="0" vertical="center" wrapText="1"/>
    </xf>
    <xf borderId="0" fillId="0" fontId="18" numFmtId="0" xfId="0" applyAlignment="1" applyFont="1">
      <alignment horizontal="center" readingOrder="0" shrinkToFit="0" vertical="center" wrapText="0"/>
    </xf>
    <xf borderId="13" fillId="2" fontId="19" numFmtId="0" xfId="0" applyAlignment="1" applyBorder="1" applyFill="1" applyFont="1">
      <alignment horizontal="center"/>
    </xf>
    <xf borderId="0" fillId="0" fontId="20" numFmtId="0" xfId="0" applyAlignment="1" applyFont="1">
      <alignment horizontal="center" shrinkToFit="0" vertical="center" wrapText="0"/>
    </xf>
    <xf borderId="9" fillId="6" fontId="6" numFmtId="0" xfId="0" applyAlignment="1" applyBorder="1" applyFill="1" applyFont="1">
      <alignment horizontal="left" readingOrder="0" shrinkToFit="0" vertical="center" wrapText="0"/>
    </xf>
    <xf borderId="0" fillId="0" fontId="19" numFmtId="0" xfId="0" applyAlignment="1" applyFont="1">
      <alignment horizontal="center"/>
    </xf>
    <xf borderId="11" fillId="7" fontId="1" numFmtId="0" xfId="0" applyAlignment="1" applyBorder="1" applyFill="1" applyFont="1">
      <alignment horizontal="right" shrinkToFit="0" vertical="center" wrapText="1"/>
    </xf>
    <xf borderId="0" fillId="0" fontId="21" numFmtId="164" xfId="0" applyAlignment="1" applyFont="1" applyNumberFormat="1">
      <alignment horizontal="center"/>
    </xf>
    <xf borderId="9" fillId="7" fontId="1" numFmtId="0" xfId="0" applyAlignment="1" applyBorder="1" applyFill="1" applyFont="1">
      <alignment shrinkToFit="0" vertical="center" wrapText="0"/>
    </xf>
    <xf borderId="12" fillId="0" fontId="1" numFmtId="0" xfId="0" applyAlignment="1" applyBorder="1" applyFont="1">
      <alignment horizontal="right" shrinkToFit="0" vertical="center" wrapText="1"/>
    </xf>
    <xf borderId="0" fillId="0" fontId="22" numFmtId="0" xfId="0" applyFont="1"/>
    <xf borderId="1" fillId="2" fontId="23" numFmtId="0" xfId="0" applyAlignment="1" applyBorder="1" applyFill="1" applyFont="1">
      <alignment horizontal="center"/>
    </xf>
    <xf borderId="0" fillId="0" fontId="12" numFmtId="10" xfId="0" applyAlignment="1" applyFont="1" applyNumberFormat="1">
      <alignment horizontal="center" vertical="center"/>
    </xf>
    <xf borderId="19" fillId="0" fontId="4" numFmtId="0" xfId="0" applyBorder="1" applyFont="1"/>
    <xf borderId="20" fillId="0" fontId="4" numFmtId="0" xfId="0" applyBorder="1" applyFont="1"/>
    <xf borderId="21" fillId="0" fontId="4" numFmtId="0" xfId="0" applyBorder="1" applyFont="1"/>
    <xf borderId="0" fillId="0" fontId="6" numFmtId="0" xfId="0" applyAlignment="1" applyFont="1">
      <alignment horizontal="center" readingOrder="0" shrinkToFit="0" vertical="center" wrapText="1"/>
    </xf>
    <xf borderId="22" fillId="9" fontId="24" numFmtId="0" xfId="0" applyBorder="1" applyFill="1" applyFont="1"/>
    <xf borderId="23" fillId="9" fontId="24" numFmtId="0" xfId="0" applyBorder="1" applyFill="1" applyFont="1"/>
    <xf borderId="24" fillId="0" fontId="25" numFmtId="0" xfId="0" applyBorder="1" applyFont="1"/>
    <xf borderId="25" fillId="0" fontId="25" numFmtId="3" xfId="0" applyBorder="1" applyFont="1" applyNumberFormat="1"/>
    <xf borderId="26" fillId="9" fontId="24" numFmtId="0" xfId="0" applyBorder="1" applyFill="1" applyFont="1"/>
    <xf borderId="27" fillId="9" fontId="24" numFmtId="3" xfId="0" applyBorder="1" applyFill="1" applyFont="1" applyNumberFormat="1"/>
    <xf borderId="25" fillId="0" fontId="25" numFmtId="0" xfId="0" applyBorder="1" applyFont="1"/>
    <xf borderId="28" fillId="2" fontId="26" numFmtId="0" xfId="0" applyAlignment="1" applyBorder="1" applyFill="1" applyFont="1">
      <alignment horizontal="center" vertical="center"/>
    </xf>
    <xf borderId="29" fillId="0" fontId="4" numFmtId="0" xfId="0" applyBorder="1" applyFont="1"/>
    <xf borderId="30" fillId="0" fontId="4" numFmtId="0" xfId="0" applyBorder="1" applyFont="1"/>
    <xf borderId="31" fillId="0" fontId="4" numFmtId="0" xfId="0" applyBorder="1" applyFont="1"/>
    <xf borderId="25" fillId="0" fontId="4" numFmtId="0" xfId="0" applyBorder="1" applyFont="1"/>
    <xf borderId="22" fillId="5" fontId="27" numFmtId="0" xfId="0" applyAlignment="1" applyBorder="1" applyFill="1" applyFont="1">
      <alignment horizontal="center" readingOrder="0" shrinkToFit="0" vertical="center" wrapText="0"/>
    </xf>
    <xf borderId="22" fillId="5" fontId="28" numFmtId="0" xfId="0" applyAlignment="1" applyBorder="1" applyFill="1" applyFont="1">
      <alignment horizontal="left" readingOrder="0" shrinkToFit="0" vertical="center" wrapText="0"/>
    </xf>
    <xf borderId="22" fillId="5" fontId="28" numFmtId="0" xfId="0" applyAlignment="1" applyBorder="1" applyFill="1" applyFont="1">
      <alignment horizontal="center" readingOrder="0" shrinkToFit="0" vertical="center" wrapText="0"/>
    </xf>
    <xf borderId="22" fillId="5" fontId="29" numFmtId="0" xfId="0" applyAlignment="1" applyBorder="1" applyFill="1" applyFont="1">
      <alignment horizontal="center" shrinkToFit="0" vertical="center" wrapText="0"/>
    </xf>
    <xf borderId="22" fillId="5" fontId="29" numFmtId="0" xfId="0" applyAlignment="1" applyBorder="1" applyFill="1" applyFont="1">
      <alignment shrinkToFit="0" vertical="center" wrapText="0"/>
    </xf>
    <xf borderId="22" fillId="5" fontId="29" numFmtId="4" xfId="0" applyAlignment="1" applyBorder="1" applyFill="1" applyFont="1" applyNumberFormat="1">
      <alignment horizontal="center" shrinkToFit="0" vertical="center" wrapText="0"/>
    </xf>
    <xf borderId="22" fillId="5" fontId="29" numFmtId="3" xfId="0" applyAlignment="1" applyBorder="1" applyFill="1" applyFont="1" applyNumberFormat="1">
      <alignment horizontal="center" shrinkToFit="0" vertical="center" wrapText="0"/>
    </xf>
    <xf borderId="1" fillId="2" fontId="30" numFmtId="0" xfId="0" applyAlignment="1" applyBorder="1" applyFill="1" applyFont="1">
      <alignment horizontal="center" vertical="center"/>
    </xf>
    <xf borderId="0" fillId="0" fontId="31" numFmtId="0" xfId="0" applyAlignment="1" applyFont="1">
      <alignment horizontal="left" readingOrder="0" shrinkToFit="0" vertical="center" wrapText="0"/>
    </xf>
    <xf borderId="0" fillId="0" fontId="6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center" shrinkToFit="0" vertical="center" wrapText="0"/>
    </xf>
    <xf borderId="0" fillId="0" fontId="1" numFmtId="15" xfId="0" applyAlignment="1" applyFont="1" applyNumberFormat="1">
      <alignment shrinkToFit="0" vertical="center" wrapText="0"/>
    </xf>
    <xf borderId="0" fillId="0" fontId="1" numFmtId="3" xfId="0" applyAlignment="1" applyFont="1" applyNumberFormat="1">
      <alignment shrinkToFit="0" vertical="center" wrapText="0"/>
    </xf>
    <xf borderId="0" fillId="0" fontId="7" numFmtId="0" xfId="0" applyFont="1"/>
    <xf borderId="22" fillId="5" fontId="29" numFmtId="3" xfId="0" applyAlignment="1" applyBorder="1" applyFill="1" applyFont="1" applyNumberFormat="1">
      <alignment horizontal="center" shrinkToFit="0" vertical="center" wrapText="1"/>
    </xf>
    <xf borderId="22" fillId="5" fontId="29" numFmtId="4" xfId="0" applyAlignment="1" applyBorder="1" applyFill="1" applyFont="1" applyNumberFormat="1">
      <alignment horizontal="center" shrinkToFit="0" vertical="center" wrapText="1"/>
    </xf>
    <xf borderId="22" fillId="5" fontId="32" numFmtId="0" xfId="0" applyAlignment="1" applyBorder="1" applyFill="1" applyFont="1">
      <alignment shrinkToFit="0" vertical="center" wrapText="0"/>
    </xf>
    <xf borderId="22" fillId="5" fontId="32" numFmtId="0" xfId="0" applyAlignment="1" applyBorder="1" applyFill="1" applyFont="1">
      <alignment horizontal="center" shrinkToFit="0" vertical="center" wrapText="0"/>
    </xf>
    <xf borderId="22" fillId="5" fontId="27" numFmtId="4" xfId="0" applyAlignment="1" applyBorder="1" applyFill="1" applyFont="1" applyNumberFormat="1">
      <alignment horizontal="center" shrinkToFit="0" vertical="center" wrapText="0"/>
    </xf>
    <xf borderId="22" fillId="5" fontId="28" numFmtId="4" xfId="0" applyAlignment="1" applyBorder="1" applyFill="1" applyFont="1" applyNumberFormat="1">
      <alignment horizontal="center" shrinkToFit="0" vertical="center" wrapText="0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9E2F3"/>
          <bgColor rgb="FFD9E2F3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  <dxf>
      <font>
        <color rgb="FF9C0006"/>
      </font>
      <fill>
        <patternFill patternType="solid">
          <fgColor rgb="FFFFC7CE"/>
          <bgColor rgb="FFFFC7CE"/>
        </patternFill>
      </fill>
      <border/>
    </dxf>
    <dxf>
      <font>
        <color rgb="FF9C5700"/>
      </font>
      <fill>
        <patternFill patternType="solid">
          <fgColor rgb="FFFFEB9C"/>
          <bgColor rgb="FFFFEB9C"/>
        </patternFill>
      </fill>
      <border/>
    </dxf>
    <dxf>
      <font>
        <color rgb="FF006100"/>
      </font>
      <fill>
        <patternFill patternType="solid">
          <fgColor rgb="FFC6EFCE"/>
          <bgColor rgb="FFC6EFCE"/>
        </patternFill>
      </fill>
      <border/>
    </dxf>
  </dxfs>
  <tableStyles count="15">
    <tableStyle count="4" pivot="0" name="Human Resources 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Materials &amp; Inventory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asting and Testing Activity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asting and Testing Activity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asting and Testing Activity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ashboard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low Table Test 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ompression Test 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ompression Test 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lexural  Test 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Budget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lexural  Test 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lexural  Test 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CM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CM-style 2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757575"/>
                </a:solidFill>
                <a:latin typeface="+mn-lt"/>
              </a:defRPr>
            </a:pPr>
            <a:r>
              <a:rPr b="1" i="0" sz="1800">
                <a:solidFill>
                  <a:srgbClr val="757575"/>
                </a:solidFill>
                <a:latin typeface="+mn-lt"/>
              </a:rPr>
              <a:t>Inventory Status</a:t>
            </a:r>
          </a:p>
        </c:rich>
      </c:tx>
      <c:overlay val="0"/>
    </c:title>
    <c:view3D>
      <c:rotX val="50"/>
      <c:perspective val="0"/>
    </c:view3D>
    <c:plotArea>
      <c:layout>
        <c:manualLayout>
          <c:xMode val="edge"/>
          <c:yMode val="edge"/>
          <c:x val="0.04012824241722108"/>
          <c:y val="0.18530880520281046"/>
          <c:w val="0.9167822405419084"/>
          <c:h val="0.6532002166458635"/>
        </c:manualLayout>
      </c:layout>
      <c:pie3DChart>
        <c:varyColors val="1"/>
        <c:ser>
          <c:idx val="0"/>
          <c:order val="0"/>
          <c:tx>
            <c:strRef>
              <c:f>Sheet2!$C$13</c:f>
            </c:strRef>
          </c:tx>
          <c:dPt>
            <c:idx val="0"/>
            <c:spPr>
              <a:solidFill>
                <a:schemeClr val="accent1"/>
              </a:solidFill>
            </c:spPr>
          </c:dPt>
          <c:dPt>
            <c:idx val="1"/>
            <c:spPr>
              <a:solidFill>
                <a:schemeClr val="accent2"/>
              </a:solidFill>
            </c:spPr>
          </c:dPt>
          <c:dPt>
            <c:idx val="2"/>
            <c:spPr>
              <a:solidFill>
                <a:schemeClr val="accent3"/>
              </a:solidFill>
            </c:spPr>
          </c:dPt>
          <c:dLbls>
            <c:dLbl>
              <c:idx val="0"/>
              <c:txPr>
                <a:bodyPr/>
                <a:lstStyle/>
                <a:p>
                  <a:pPr lvl="0">
                    <a:defRPr b="0" i="0" sz="1000">
                      <a:solidFill>
                        <a:srgbClr val="4472C4"/>
                      </a:solidFill>
                      <a:latin typeface="+mn-lt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txPr>
                <a:bodyPr/>
                <a:lstStyle/>
                <a:p>
                  <a:pPr lvl="0">
                    <a:defRPr b="0" i="0" sz="1000">
                      <a:solidFill>
                        <a:srgbClr val="ED7D31"/>
                      </a:solidFill>
                      <a:latin typeface="+mn-lt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txPr>
                <a:bodyPr/>
                <a:lstStyle/>
                <a:p>
                  <a:pPr lvl="0">
                    <a:defRPr b="0" i="0" sz="1000">
                      <a:solidFill>
                        <a:srgbClr val="A5A5A5"/>
                      </a:solidFill>
                      <a:latin typeface="+mn-lt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</c:dLbl>
            <c:showLegendKey val="0"/>
            <c:showVal val="1"/>
            <c:showCatName val="0"/>
            <c:showSerName val="0"/>
            <c:showPercent val="0"/>
            <c:showBubbleSize val="0"/>
            <c:showLeaderLines val="1"/>
          </c:dLbls>
          <c:cat>
            <c:strRef>
              <c:f>Sheet2!$B$14:$B$16</c:f>
            </c:strRef>
          </c:cat>
          <c:val>
            <c:numRef>
              <c:f>Sheet2!$C$14:$C$16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</c:pie3DChart>
    </c:plotArea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+mn-lt"/>
              </a:defRPr>
            </a:pPr>
            <a:r>
              <a:rPr b="0" i="0" sz="1400">
                <a:solidFill>
                  <a:srgbClr val="757575"/>
                </a:solidFill>
                <a:latin typeface="+mn-lt"/>
              </a:rPr>
              <a:t>Testing Activity</a:t>
            </a:r>
          </a:p>
        </c:rich>
      </c:tx>
      <c:overlay val="0"/>
    </c:title>
    <c:plotArea>
      <c:layout>
        <c:manualLayout>
          <c:xMode val="edge"/>
          <c:yMode val="edge"/>
          <c:x val="0.05919726813838265"/>
          <c:y val="0.1671528367717277"/>
          <c:w val="0.9155301837270341"/>
          <c:h val="0.6149843248760571"/>
        </c:manualLayout>
      </c:layout>
      <c:barChart>
        <c:barDir val="col"/>
        <c:ser>
          <c:idx val="0"/>
          <c:order val="0"/>
          <c:tx>
            <c:v>Compression</c:v>
          </c:tx>
          <c:spPr>
            <a:solidFill>
              <a:schemeClr val="accent1"/>
            </a:solidFill>
            <a:ln cmpd="sng">
              <a:noFill/>
            </a:ln>
          </c:spPr>
          <c:val>
            <c:numRef>
              <c:f>Sheet2!$F$14</c:f>
              <c:numCache/>
            </c:numRef>
          </c:val>
        </c:ser>
        <c:ser>
          <c:idx val="1"/>
          <c:order val="1"/>
          <c:tx>
            <c:v>Flexural Test</c:v>
          </c:tx>
          <c:spPr>
            <a:solidFill>
              <a:schemeClr val="accent2"/>
            </a:solidFill>
            <a:ln cmpd="sng">
              <a:noFill/>
            </a:ln>
          </c:spPr>
          <c:val>
            <c:numRef>
              <c:f>Sheet2!$F$15</c:f>
              <c:numCache/>
            </c:numRef>
          </c:val>
        </c:ser>
        <c:ser>
          <c:idx val="2"/>
          <c:order val="2"/>
          <c:tx>
            <c:v>Flow Test</c:v>
          </c:tx>
          <c:spPr>
            <a:solidFill>
              <a:schemeClr val="accent3"/>
            </a:solidFill>
            <a:ln cmpd="sng">
              <a:noFill/>
            </a:ln>
          </c:spPr>
          <c:val>
            <c:numRef>
              <c:f>Sheet2!$F$16</c:f>
              <c:numCache/>
            </c:numRef>
          </c:val>
        </c:ser>
        <c:axId val="437304780"/>
        <c:axId val="2014855270"/>
      </c:barChart>
      <c:catAx>
        <c:axId val="4373047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14855270"/>
      </c:catAx>
      <c:valAx>
        <c:axId val="201485527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437304780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>
        <c:manualLayout>
          <c:xMode val="edge"/>
          <c:yMode val="edge"/>
          <c:x val="0.041834778972998636"/>
          <c:y val="0.13535997168016284"/>
          <c:w val="0.6744168170667653"/>
          <c:h val="0.4624116241325233"/>
        </c:manualLayout>
      </c:layout>
      <c:barChart>
        <c:barDir val="bar"/>
        <c:grouping val="stacked"/>
        <c:ser>
          <c:idx val="0"/>
          <c:order val="0"/>
          <c:tx>
            <c:v>Budget Utilization</c:v>
          </c:tx>
          <c:spPr>
            <a:solidFill>
              <a:schemeClr val="accent1"/>
            </a:solidFill>
            <a:ln cmpd="sng">
              <a:noFill/>
            </a:ln>
          </c:spPr>
          <c:val>
            <c:numRef>
              <c:f>Sheet2!$I$11</c:f>
              <c:numCache/>
            </c:numRef>
          </c:val>
        </c:ser>
        <c:ser>
          <c:idx val="1"/>
          <c:order val="1"/>
          <c:tx>
            <c:v>Budget Balance</c:v>
          </c:tx>
          <c:spPr>
            <a:solidFill>
              <a:schemeClr val="accent2"/>
            </a:solidFill>
            <a:ln cmpd="sng">
              <a:noFill/>
            </a:ln>
          </c:spPr>
          <c:val>
            <c:numRef>
              <c:f>Sheet2!$I$12</c:f>
              <c:numCache/>
            </c:numRef>
          </c:val>
        </c:ser>
        <c:overlap val="100"/>
        <c:axId val="1301012438"/>
        <c:axId val="1540676068"/>
      </c:barChart>
      <c:catAx>
        <c:axId val="1301012438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40676068"/>
      </c:catAx>
      <c:valAx>
        <c:axId val="1540676068"/>
        <c:scaling>
          <c:orientation val="minMax"/>
          <c:max val="1.0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1301012438"/>
        <c:crosses val="max"/>
      </c:valAx>
    </c:plotArea>
    <c:legend>
      <c:legendPos val="r"/>
      <c:layout>
        <c:manualLayout>
          <c:xMode val="edge"/>
          <c:yMode val="edge"/>
          <c:x val="0.7515459603161139"/>
          <c:y val="0.2456396533614669"/>
        </c:manualLayout>
      </c:layout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600075</xdr:colOff>
      <xdr:row>12</xdr:row>
      <xdr:rowOff>19050</xdr:rowOff>
    </xdr:from>
    <xdr:ext cx="4914900" cy="2705100"/>
    <xdr:graphicFrame>
      <xdr:nvGraphicFramePr>
        <xdr:cNvPr id="1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581025</xdr:colOff>
      <xdr:row>12</xdr:row>
      <xdr:rowOff>0</xdr:rowOff>
    </xdr:from>
    <xdr:ext cx="4600575" cy="2581275"/>
    <xdr:graphicFrame>
      <xdr:nvGraphicFramePr>
        <xdr:cNvPr id="2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11</xdr:col>
      <xdr:colOff>0</xdr:colOff>
      <xdr:row>42</xdr:row>
      <xdr:rowOff>133350</xdr:rowOff>
    </xdr:from>
    <xdr:ext cx="5438775" cy="904875"/>
    <xdr:graphicFrame>
      <xdr:nvGraphicFramePr>
        <xdr:cNvPr id="3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3</xdr:row>
      <xdr:rowOff>161925</xdr:rowOff>
    </xdr:from>
    <xdr:ext cx="1933575" cy="390525"/>
    <xdr:sp>
      <xdr:nvSpPr>
        <xdr:cNvPr id="3" name="Shape 3"/>
        <xdr:cNvSpPr/>
      </xdr:nvSpPr>
      <xdr:spPr>
        <a:xfrm>
          <a:off x="4383975" y="3594263"/>
          <a:ext cx="1924050" cy="371475"/>
        </a:xfrm>
        <a:prstGeom prst="rect">
          <a:avLst/>
        </a:prstGeom>
        <a:solidFill>
          <a:schemeClr val="accent2"/>
        </a:solidFill>
        <a:ln cap="flat" cmpd="sng" w="12700">
          <a:solidFill>
            <a:srgbClr val="F7A883"/>
          </a:solidFill>
          <a:prstDash val="solid"/>
          <a:miter lim="8000"/>
          <a:headEnd len="sm" w="sm" type="none"/>
          <a:tailEnd len="sm" w="sm" type="none"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2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Total Materials</a:t>
          </a:r>
          <a:endParaRPr sz="14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200">
            <a:solidFill>
              <a:schemeClr val="lt1"/>
            </a:solidFill>
            <a:latin typeface="Calibri"/>
            <a:ea typeface="Calibri"/>
            <a:cs typeface="Calibri"/>
            <a:sym typeface="Calibri"/>
          </a:endParaRPr>
        </a:p>
      </xdr:txBody>
    </xdr:sp>
    <xdr:clientData fLocksWithSheet="0"/>
  </xdr:oneCellAnchor>
  <xdr:oneCellAnchor>
    <xdr:from>
      <xdr:col>0</xdr:col>
      <xdr:colOff>-409575</xdr:colOff>
      <xdr:row>0</xdr:row>
      <xdr:rowOff>-2066925</xdr:rowOff>
    </xdr:from>
    <xdr:ext cx="1752600" cy="400050"/>
    <xdr:sp>
      <xdr:nvSpPr>
        <xdr:cNvPr id="4" name="Shape 4"/>
        <xdr:cNvSpPr/>
      </xdr:nvSpPr>
      <xdr:spPr>
        <a:xfrm>
          <a:off x="4474463" y="3584738"/>
          <a:ext cx="1743075" cy="390525"/>
        </a:xfrm>
        <a:prstGeom prst="rect">
          <a:avLst/>
        </a:prstGeom>
        <a:solidFill>
          <a:srgbClr val="F7A883"/>
        </a:solidFill>
        <a:ln cap="flat" cmpd="sng" w="12700">
          <a:solidFill>
            <a:srgbClr val="F7A883"/>
          </a:solidFill>
          <a:prstDash val="solid"/>
          <a:miter lim="8000"/>
          <a:headEnd len="sm" w="sm" type="none"/>
          <a:tailEnd len="sm" w="sm" type="none"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2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Low Stock</a:t>
          </a:r>
          <a:endParaRPr sz="14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200">
            <a:solidFill>
              <a:schemeClr val="lt1"/>
            </a:solidFill>
            <a:latin typeface="Calibri"/>
            <a:ea typeface="Calibri"/>
            <a:cs typeface="Calibri"/>
            <a:sym typeface="Calibri"/>
          </a:endParaRPr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200">
            <a:solidFill>
              <a:schemeClr val="lt1"/>
            </a:solidFill>
            <a:latin typeface="Calibri"/>
            <a:ea typeface="Calibri"/>
            <a:cs typeface="Calibri"/>
            <a:sym typeface="Calibri"/>
          </a:endParaRPr>
        </a:p>
      </xdr:txBody>
    </xdr:sp>
    <xdr:clientData fLocksWithSheet="0"/>
  </xdr:oneCellAnchor>
  <xdr:oneCellAnchor>
    <xdr:from>
      <xdr:col>4</xdr:col>
      <xdr:colOff>0</xdr:colOff>
      <xdr:row>3</xdr:row>
      <xdr:rowOff>152400</xdr:rowOff>
    </xdr:from>
    <xdr:ext cx="1771650" cy="390525"/>
    <xdr:sp>
      <xdr:nvSpPr>
        <xdr:cNvPr id="5" name="Shape 5"/>
        <xdr:cNvSpPr/>
      </xdr:nvSpPr>
      <xdr:spPr>
        <a:xfrm>
          <a:off x="4464938" y="3589500"/>
          <a:ext cx="1762125" cy="381000"/>
        </a:xfrm>
        <a:prstGeom prst="rect">
          <a:avLst/>
        </a:prstGeom>
        <a:solidFill>
          <a:schemeClr val="accent2"/>
        </a:solidFill>
        <a:ln cap="flat" cmpd="sng" w="12700">
          <a:solidFill>
            <a:srgbClr val="F7A883"/>
          </a:solidFill>
          <a:prstDash val="solid"/>
          <a:miter lim="8000"/>
          <a:headEnd len="sm" w="sm" type="none"/>
          <a:tailEnd len="sm" w="sm" type="none"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2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Low Stock</a:t>
          </a:r>
          <a:endParaRPr sz="14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200">
            <a:solidFill>
              <a:schemeClr val="lt1"/>
            </a:solidFill>
            <a:latin typeface="Calibri"/>
            <a:ea typeface="Calibri"/>
            <a:cs typeface="Calibri"/>
            <a:sym typeface="Calibri"/>
          </a:endParaRPr>
        </a:p>
      </xdr:txBody>
    </xdr:sp>
    <xdr:clientData fLocksWithSheet="0"/>
  </xdr:oneCellAnchor>
  <xdr:oneCellAnchor>
    <xdr:from>
      <xdr:col>8</xdr:col>
      <xdr:colOff>0</xdr:colOff>
      <xdr:row>3</xdr:row>
      <xdr:rowOff>161925</xdr:rowOff>
    </xdr:from>
    <xdr:ext cx="1495425" cy="390525"/>
    <xdr:sp>
      <xdr:nvSpPr>
        <xdr:cNvPr id="6" name="Shape 6"/>
        <xdr:cNvSpPr/>
      </xdr:nvSpPr>
      <xdr:spPr>
        <a:xfrm>
          <a:off x="4603050" y="3594263"/>
          <a:ext cx="1485900" cy="371475"/>
        </a:xfrm>
        <a:prstGeom prst="rect">
          <a:avLst/>
        </a:prstGeom>
        <a:solidFill>
          <a:schemeClr val="accent2"/>
        </a:solidFill>
        <a:ln cap="flat" cmpd="sng" w="12700">
          <a:solidFill>
            <a:srgbClr val="F7A883"/>
          </a:solidFill>
          <a:prstDash val="solid"/>
          <a:miter lim="8000"/>
          <a:headEnd len="sm" w="sm" type="none"/>
          <a:tailEnd len="sm" w="sm" type="none"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2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Purchase Required</a:t>
          </a:r>
          <a:endParaRPr sz="14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200">
            <a:solidFill>
              <a:schemeClr val="lt1"/>
            </a:solidFill>
            <a:latin typeface="Calibri"/>
            <a:ea typeface="Calibri"/>
            <a:cs typeface="Calibri"/>
            <a:sym typeface="Calibri"/>
          </a:endParaRPr>
        </a:p>
      </xdr:txBody>
    </xdr:sp>
    <xdr:clientData fLocksWithSheet="0"/>
  </xdr:oneCellAnchor>
  <xdr:oneCellAnchor>
    <xdr:from>
      <xdr:col>11</xdr:col>
      <xdr:colOff>0</xdr:colOff>
      <xdr:row>4</xdr:row>
      <xdr:rowOff>0</xdr:rowOff>
    </xdr:from>
    <xdr:ext cx="2095500" cy="381000"/>
    <xdr:sp>
      <xdr:nvSpPr>
        <xdr:cNvPr id="7" name="Shape 7"/>
        <xdr:cNvSpPr/>
      </xdr:nvSpPr>
      <xdr:spPr>
        <a:xfrm>
          <a:off x="4303013" y="3594263"/>
          <a:ext cx="2085975" cy="371475"/>
        </a:xfrm>
        <a:prstGeom prst="rect">
          <a:avLst/>
        </a:prstGeom>
        <a:solidFill>
          <a:schemeClr val="accent2"/>
        </a:solidFill>
        <a:ln cap="flat" cmpd="sng" w="12700">
          <a:solidFill>
            <a:srgbClr val="F7A883"/>
          </a:solidFill>
          <a:prstDash val="solid"/>
          <a:miter lim="8000"/>
          <a:headEnd len="sm" w="sm" type="none"/>
          <a:tailEnd len="sm" w="sm" type="none"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2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Urgent Purchases</a:t>
          </a:r>
          <a:endParaRPr sz="1400"/>
        </a:p>
      </xdr:txBody>
    </xdr:sp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33:C36" displayName="Table19" name="Table19" id="6">
  <tableColumns count="2">
    <tableColumn name="S. No" id="1"/>
    <tableColumn name="Material " id="2"/>
  </tableColumns>
  <tableStyleInfo name="Dashboard-style" showColumnStripes="0" showFirstColumn="1" showLastColumn="1" showRowStripes="1"/>
</table>
</file>

<file path=xl/tables/table2.xml><?xml version="1.0" encoding="utf-8"?>
<table xmlns="http://schemas.openxmlformats.org/spreadsheetml/2006/main" ref="A12:T21" displayName="Table1" name="Table1" id="2">
  <tableColumns count="20">
    <tableColumn name="S.No" id="1"/>
    <tableColumn name="Date" id="2"/>
    <tableColumn name="Material ID" id="3"/>
    <tableColumn name="Material" id="4"/>
    <tableColumn name="Category" id="5"/>
    <tableColumn name="Supplier" id="6"/>
    <tableColumn name="Unit" id="7"/>
    <tableColumn name="Opening Stock" id="8"/>
    <tableColumn name="Received" id="9"/>
    <tableColumn name="Consumed" id="10"/>
    <tableColumn name="Closing Stock" id="11"/>
    <tableColumn name="Minimum Stock" id="12"/>
    <tableColumn name="Required Stock" id="13"/>
    <tableColumn name="Order Quantity" id="14"/>
    <tableColumn name="Stock Status" id="15"/>
    <tableColumn name="Purchase Required" id="16"/>
    <tableColumn name="Purchase Priority" id="17"/>
    <tableColumn name="Remarks" id="18"/>
    <tableColumn name="Critical Unique" id="19"/>
    <tableColumn name="Stock Status2" id="20"/>
  </tableColumns>
  <tableStyleInfo name="Materials &amp; Inventory-style" showColumnStripes="0" showFirstColumn="1" showLastColumn="1" showRowStripes="1"/>
</table>
</file>

<file path=xl/tables/table3.xml><?xml version="1.0" encoding="utf-8"?>
<table xmlns="http://schemas.openxmlformats.org/spreadsheetml/2006/main" ref="A5:O14" displayName="Table13" name="Table13" id="1">
  <tableColumns count="15">
    <tableColumn name="S.No" id="1"/>
    <tableColumn name="Date" id="2"/>
    <tableColumn name="Employee Name " id="3"/>
    <tableColumn name="Designation" id="4"/>
    <tableColumn name="work Category" id="5"/>
    <tableColumn name="Task " id="6"/>
    <tableColumn name="Description " id="7"/>
    <tableColumn name="Start Time " id="8"/>
    <tableColumn name="End Time" id="9"/>
    <tableColumn name="Task Status " id="10"/>
    <tableColumn name="output/ Result " id="11"/>
    <tableColumn name="Issue / Problem " id="12"/>
    <tableColumn name="Corrective Action" id="13"/>
    <tableColumn name="Supervisor " id="14"/>
    <tableColumn name="Remarks" id="15"/>
  </tableColumns>
  <tableStyleInfo name="Human Resources -style" showColumnStripes="0" showFirstColumn="1" showLastColumn="1" showRowStripes="1"/>
</table>
</file>

<file path=xl/tables/table4.xml><?xml version="1.0" encoding="utf-8"?>
<table xmlns="http://schemas.openxmlformats.org/spreadsheetml/2006/main" ref="A7:G16" displayName="Table14" name="Table14" id="3">
  <tableColumns count="7">
    <tableColumn name="S.No" id="1"/>
    <tableColumn name="Mix ID" id="2"/>
    <tableColumn name="Date " id="3"/>
    <tableColumn name="Target Flow (mm)" id="4"/>
    <tableColumn name="Target Compressive Strength" id="5"/>
    <tableColumn name="Target Flexural Strength" id="6"/>
    <tableColumn name="Status " id="7"/>
  </tableColumns>
  <tableStyleInfo name="Casting and Testing Activity-style" showColumnStripes="0" showFirstColumn="1" showLastColumn="1" showRowStripes="1"/>
</table>
</file>

<file path=xl/tables/table5.xml><?xml version="1.0" encoding="utf-8"?>
<table xmlns="http://schemas.openxmlformats.org/spreadsheetml/2006/main" ref="H7:H16" displayName="Table15" name="Table15" id="4">
  <tableColumns count="1">
    <tableColumn name="Remarks" id="1"/>
  </tableColumns>
  <tableStyleInfo name="Casting and Testing Activity-style 2" showColumnStripes="0" showFirstColumn="1" showLastColumn="1" showRowStripes="1"/>
</table>
</file>

<file path=xl/tables/table6.xml><?xml version="1.0" encoding="utf-8"?>
<table xmlns="http://schemas.openxmlformats.org/spreadsheetml/2006/main" ref="A27:AG30" displayName="Table5" name="Table5" id="5">
  <tableColumns count="33">
    <tableColumn name="S.No" id="1"/>
    <tableColumn name="Date" id="2"/>
    <tableColumn name="Mix ID " id="3"/>
    <tableColumn name="Batch No " id="4"/>
    <tableColumn name="Target Volume " id="5"/>
    <tableColumn name="Actual Volume" id="6"/>
    <tableColumn name="Cement " id="7"/>
    <tableColumn name="Silica Fume " id="8"/>
    <tableColumn name="GGBS " id="9"/>
    <tableColumn name="Limestone  Powder " id="10"/>
    <tableColumn name="Quartz Powder/ Sand " id="11"/>
    <tableColumn name="Water" id="12"/>
    <tableColumn name="Superplasticizer" id="13"/>
    <tableColumn name="SRA" id="14"/>
    <tableColumn name="Fibre" id="15"/>
    <tableColumn name="Total Binder" id="16"/>
    <tableColumn name="W/b Ratio" id="17"/>
    <tableColumn name="SP Dosage" id="18"/>
    <tableColumn name="Fibre Volume %" id="19"/>
    <tableColumn name="Mixing  Start Time " id="20"/>
    <tableColumn name="Mixing  End Time " id="21"/>
    <tableColumn name="Humidity" id="22"/>
    <tableColumn name="Mixing Duration" id="23"/>
    <tableColumn name="Casting  Start" id="24"/>
    <tableColumn name="Cast Completion" id="25"/>
    <tableColumn name="Number Of Specimen " id="26"/>
    <tableColumn name="Mould Type" id="27"/>
    <tableColumn name="Demoulding Date " id="28"/>
    <tableColumn name="Curing Method " id="29"/>
    <tableColumn name="Curing Temperature " id="30"/>
    <tableColumn name="Responsible ET " id="31"/>
    <tableColumn name="Observation " id="32"/>
    <tableColumn name="Remarks" id="33"/>
  </tableColumns>
  <tableStyleInfo name="Casting and Testing Activity-style 3" showColumnStripes="0" showFirstColumn="1" showLastColumn="1" showRowStripes="1"/>
</table>
</file>

<file path=xl/tables/table7.xml><?xml version="1.0" encoding="utf-8"?>
<table xmlns="http://schemas.openxmlformats.org/spreadsheetml/2006/main" ref="A4:R13" displayName="Table134" name="Table134" id="7">
  <tableColumns count="18">
    <tableColumn name="S.No" id="1"/>
    <tableColumn name="Date" id="2"/>
    <tableColumn name="Trail ID " id="3"/>
    <tableColumn name="Mix ID " id="4"/>
    <tableColumn name="Test Standard" id="5"/>
    <tableColumn name="Ambient Temperature " id="6"/>
    <tableColumn name="UHPC Temperature " id="7"/>
    <tableColumn name="d1 (mm)" id="8"/>
    <tableColumn name="d2(mm)" id="9"/>
    <tableColumn name="D1-D2" id="10"/>
    <tableColumn name="Average speed =  (d1+d2)/2 (mm)" id="11"/>
    <tableColumn name="Flow Table  (mm)" id="12"/>
    <tableColumn name="Stabilization Time " id="13"/>
    <tableColumn name="Segregation" id="14"/>
    <tableColumn name="w/b Ratio" id="15"/>
    <tableColumn name="SP Dosage " id="16"/>
    <tableColumn name="SRA Dosage " id="17"/>
    <tableColumn name="Humidity" id="18"/>
  </tableColumns>
  <tableStyleInfo name="Flow Table Test -style" showColumnStripes="0" showFirstColumn="1" showLastColumn="1" showRowStripes="1"/>
</table>
</file>

<file path=xl/tables/table8.xml><?xml version="1.0" encoding="utf-8"?>
<table xmlns="http://schemas.openxmlformats.org/spreadsheetml/2006/main" ref="A4:X13" displayName="Table1345" name="Table1345" id="8">
  <tableColumns count="24">
    <tableColumn name="S.No" id="1"/>
    <tableColumn name="Date" id="2"/>
    <tableColumn name="Test ID " id="3"/>
    <tableColumn name="Time " id="4"/>
    <tableColumn name="Mix ID " id="5"/>
    <tableColumn name="Batch ID " id="6"/>
    <tableColumn name="Specimen ID " id="7"/>
    <tableColumn name="Test Standard " id="8"/>
    <tableColumn name="Casting Date " id="9"/>
    <tableColumn name="Target Age " id="10"/>
    <tableColumn name="Actual Age " id="11"/>
    <tableColumn name="Curing Temperature " id="12"/>
    <tableColumn name="Testing Temperature " id="13"/>
    <tableColumn name="Specimen Type" id="14"/>
    <tableColumn name="Nominal Length" id="15"/>
    <tableColumn name="Nominal Width" id="16"/>
    <tableColumn name="Nominal Height" id="17"/>
    <tableColumn name="Measured Length" id="18"/>
    <tableColumn name="Mesured Width" id="19"/>
    <tableColumn name="Measured Height" id="20"/>
    <tableColumn name="Diameter ( cylindrical Specimen )" id="21"/>
    <tableColumn name="Cross sectional Area " id="22"/>
    <tableColumn name="Loading Rate  (Mpa/s)" id="23"/>
    <tableColumn name="Maximum Load (KN)" id="24"/>
  </tableColumns>
  <tableStyleInfo name="Compression Test -style" showColumnStripes="0" showFirstColumn="1" showLastColumn="1" showRowStripes="1"/>
</table>
</file>

<file path=xl/tables/table9.xml><?xml version="1.0" encoding="utf-8"?>
<table xmlns="http://schemas.openxmlformats.org/spreadsheetml/2006/main" ref="Y4:AC13" displayName="Table6" name="Table6" id="9">
  <tableColumns count="5">
    <tableColumn name="Failure Type " id="1"/>
    <tableColumn name="Faliure Observation " id="2"/>
    <tableColumn name="Compressive Strength Mpa" id="3"/>
    <tableColumn name="Target Strength Mpa" id="4"/>
    <tableColumn name="Remarks " id="5"/>
  </tableColumns>
  <tableStyleInfo name="Compression Test -style 2" showColumnStripes="0" showFirstColumn="1" showLastColumn="1" showRowStripes="1"/>
</table>
</file>

<file path=xl/tables/table10.xml><?xml version="1.0" encoding="utf-8"?>
<table xmlns="http://schemas.openxmlformats.org/spreadsheetml/2006/main" ref="A3:Y12" displayName="Table134510" name="Table134510" id="10">
  <tableColumns count="25">
    <tableColumn name="S.No" id="1"/>
    <tableColumn name="Date" id="2"/>
    <tableColumn name="Test ID " id="3"/>
    <tableColumn name="Mix ID " id="4"/>
    <tableColumn name="Batch ID " id="5"/>
    <tableColumn name="Specimen ID " id="6"/>
    <tableColumn name="Test Standard " id="7"/>
    <tableColumn name="Test Type " id="8"/>
    <tableColumn name="Casting Date " id="9"/>
    <tableColumn name="Target Age " id="10"/>
    <tableColumn name="Actual Age " id="11"/>
    <tableColumn name="Curing Temperature " id="12"/>
    <tableColumn name="Testing Temperature " id="13"/>
    <tableColumn name="Specimen Type" id="14"/>
    <tableColumn name="Notched /Unnotched " id="15"/>
    <tableColumn name=" Length (mm)" id="16"/>
    <tableColumn name=" Width (mm)" id="17"/>
    <tableColumn name=" Height (mm)" id="18"/>
    <tableColumn name="Fibre Type " id="19"/>
    <tableColumn name="Fibre Length (mm)" id="20"/>
    <tableColumn name="Fibre Volume  (%)" id="21"/>
    <tableColumn name="Notch Depth (mm)" id="22"/>
    <tableColumn name="Notch Width (mm)" id="23"/>
    <tableColumn name="Support Span (mm)" id="24"/>
    <tableColumn name="Loading Direction" id="25"/>
  </tableColumns>
  <tableStyleInfo name="Flexural  Test -style" showColumnStripes="0" showFirstColumn="1" showLastColumn="1" showRowStripes="1"/>
</table>
</file>

<file path=xl/tables/table11.xml><?xml version="1.0" encoding="utf-8"?>
<table xmlns="http://schemas.openxmlformats.org/spreadsheetml/2006/main" ref="Z3:AD12" displayName="Table612" name="Table612" id="12">
  <tableColumns count="5">
    <tableColumn name="Loading Rate (mm/min)" id="1"/>
    <tableColumn name="First Crack Load (KN)" id="2"/>
    <tableColumn name="First Crack Deflection (mm)" id="3"/>
    <tableColumn name="First Crack Stress (Mpa)" id="4"/>
    <tableColumn name="Column 1" id="5"/>
  </tableColumns>
  <tableStyleInfo name="Flexural  Test -style 2" showColumnStripes="0" showFirstColumn="1" showLastColumn="1" showRowStripes="1"/>
</table>
</file>

<file path=xl/tables/table12.xml><?xml version="1.0" encoding="utf-8"?>
<table xmlns="http://schemas.openxmlformats.org/spreadsheetml/2006/main" ref="AE3:AM12" displayName="Table12" name="Table12" id="13">
  <tableColumns count="9">
    <tableColumn name="Peak Load (KN)" id="1"/>
    <tableColumn name="Peak Deflection (mm)" id="2"/>
    <tableColumn name="Crack Opening at Peak (mm)" id="3"/>
    <tableColumn name="Flexuarl Strength (Mpa)" id="4"/>
    <tableColumn name="Residual Strength (Mpa)" id="5"/>
    <tableColumn name="Ultimate Deflection (mm)" id="6"/>
    <tableColumn name="Toughness (j)" id="7"/>
    <tableColumn name="Failure Mode " id="8"/>
    <tableColumn name="Remarks " id="9"/>
  </tableColumns>
  <tableStyleInfo name="Flexural  Test -style 3" showColumnStripes="0" showFirstColumn="1" showLastColumn="1" showRowStripes="1"/>
</table>
</file>

<file path=xl/tables/table13.xml><?xml version="1.0" encoding="utf-8"?>
<table xmlns="http://schemas.openxmlformats.org/spreadsheetml/2006/main" ref="C17:I45" displayName="Table10" name="Table10" id="11">
  <tableColumns count="7">
    <tableColumn name="S.No" id="1"/>
    <tableColumn name="Lab equipment" id="2"/>
    <tableColumn name="No's" id="3"/>
    <tableColumn name="Basic" id="4"/>
    <tableColumn name=" " id="5"/>
    <tableColumn name=" gst(18%) " id="6"/>
    <tableColumn name="total" id="7"/>
  </tableColumns>
  <tableStyleInfo name="Budget-style" showColumnStripes="0" showFirstColumn="1" showLastColumn="1" showRowStripes="1"/>
</table>
</file>

<file path=xl/tables/table14.xml><?xml version="1.0" encoding="utf-8"?>
<table xmlns="http://schemas.openxmlformats.org/spreadsheetml/2006/main" ref="A4:A34" displayName="Table8" name="Table8" id="14">
  <tableColumns count="1">
    <tableColumn name="S.No" id="1"/>
  </tableColumns>
  <tableStyleInfo name="SCM-style" showColumnStripes="0" showFirstColumn="1" showLastColumn="1" showRowStripes="1"/>
</table>
</file>

<file path=xl/tables/table15.xml><?xml version="1.0" encoding="utf-8"?>
<table xmlns="http://schemas.openxmlformats.org/spreadsheetml/2006/main" ref="B4:R34" displayName="Table7" name="Table7" id="15">
  <tableColumns count="17">
    <tableColumn name="Item Code" id="1"/>
    <tableColumn name="Item Description" id="2"/>
    <tableColumn name="HSN" id="3"/>
    <tableColumn name="Supplier / Vendor" id="4"/>
    <tableColumn name="Delivery Date" id="5"/>
    <tableColumn name="Qty" id="6"/>
    <tableColumn name="UOM" id="7"/>
    <tableColumn name="Rate (₹)" id="8"/>
    <tableColumn name="Tax" id="9"/>
    <tableColumn name="Purchase Req." id="10"/>
    <tableColumn name="Line Item" id="11"/>
    <tableColumn name="Amount (₹)" id="12"/>
    <tableColumn name="PO No." id="13"/>
    <tableColumn name="Received Qty" id="14"/>
    <tableColumn name="Pending Qty" id="15"/>
    <tableColumn name="Actual Delivery Date" id="16"/>
    <tableColumn name="Purchase Status" id="17"/>
  </tableColumns>
  <tableStyleInfo name="SCM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5" Type="http://schemas.openxmlformats.org/officeDocument/2006/relationships/table" Target="../tables/table4.xml"/><Relationship Id="rId6" Type="http://schemas.openxmlformats.org/officeDocument/2006/relationships/table" Target="../tables/table5.xml"/><Relationship Id="rId7" Type="http://schemas.openxmlformats.org/officeDocument/2006/relationships/table" Target="../tables/table6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7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4" Type="http://schemas.openxmlformats.org/officeDocument/2006/relationships/table" Target="../tables/table8.xml"/><Relationship Id="rId5" Type="http://schemas.openxmlformats.org/officeDocument/2006/relationships/table" Target="../tables/table9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5" Type="http://schemas.openxmlformats.org/officeDocument/2006/relationships/table" Target="../tables/table10.xml"/><Relationship Id="rId6" Type="http://schemas.openxmlformats.org/officeDocument/2006/relationships/table" Target="../tables/table11.xml"/><Relationship Id="rId7" Type="http://schemas.openxmlformats.org/officeDocument/2006/relationships/table" Target="../tables/table12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13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4" Type="http://schemas.openxmlformats.org/officeDocument/2006/relationships/table" Target="../tables/table14.xml"/><Relationship Id="rId5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12.43"/>
    <col customWidth="1" min="3" max="3" width="36.14"/>
    <col customWidth="1" min="4" max="6" width="21.86"/>
    <col customWidth="1" min="7" max="19" width="8.71"/>
    <col customWidth="1" min="20" max="20" width="11.86"/>
    <col customWidth="1" min="21" max="27" width="8.71"/>
  </cols>
  <sheetData>
    <row r="1" ht="14.25" customHeight="1"/>
    <row r="2" ht="14.25" customHeight="1">
      <c r="B2" s="34" t="s">
        <v>69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5"/>
      <c r="T2" s="35"/>
      <c r="U2" s="5"/>
    </row>
    <row r="3" ht="14.25" customHeight="1">
      <c r="B3" s="8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10"/>
      <c r="T3" s="8"/>
      <c r="U3" s="10"/>
    </row>
    <row r="4" ht="14.25" customHeight="1">
      <c r="B4" s="36" t="s">
        <v>70</v>
      </c>
    </row>
    <row r="5" ht="14.25" customHeight="1"/>
    <row r="6" ht="14.25" customHeight="1">
      <c r="B6" s="37" t="s">
        <v>71</v>
      </c>
      <c r="C6" s="38"/>
      <c r="D6" s="39"/>
      <c r="F6" s="40" t="s">
        <v>73</v>
      </c>
      <c r="J6" s="40" t="s">
        <v>75</v>
      </c>
      <c r="N6" s="40" t="s">
        <v>77</v>
      </c>
      <c r="R6" s="40" t="s">
        <v>78</v>
      </c>
    </row>
    <row r="7" ht="14.25" customHeight="1">
      <c r="B7" s="41">
        <f>SUMPRODUCT(('Materials &amp; Inventory'!D13:D5000&lt;&gt;"")/COUNTIF('Materials &amp; Inventory'!D13:D5000,'Materials &amp; Inventory'!D13:D5000&amp;""))</f>
        <v>5</v>
      </c>
      <c r="C7" s="4"/>
      <c r="D7" s="5"/>
      <c r="F7" s="41">
        <f>COUNTIF('Casting and Testing Activity'!B28:B5000,TODAY())</f>
        <v>1</v>
      </c>
      <c r="G7" s="4"/>
      <c r="H7" s="5"/>
      <c r="J7" s="41">
        <f>COUNTIF('Flow Table Test '!B5:B1048576,TODAY())+COUNTIF('Compression Test '!B5:B1048576,TODAY())+COUNTIF('Flexural  Test '!B4:B1048576,TODAY())</f>
        <v>0</v>
      </c>
      <c r="K7" s="4"/>
      <c r="L7" s="5"/>
      <c r="N7" s="41">
        <f>SUM('Materials &amp; Inventory'!S13:S5000)</f>
        <v>1</v>
      </c>
      <c r="O7" s="4"/>
      <c r="P7" s="5"/>
      <c r="R7" s="44">
        <f>Budget!D6</f>
        <v>48342719</v>
      </c>
      <c r="S7" s="4"/>
      <c r="T7" s="5"/>
    </row>
    <row r="8" ht="14.25" customHeight="1">
      <c r="B8" s="6"/>
      <c r="D8" s="7"/>
      <c r="F8" s="6"/>
      <c r="H8" s="7"/>
      <c r="J8" s="6"/>
      <c r="L8" s="7"/>
      <c r="N8" s="6"/>
      <c r="P8" s="7"/>
      <c r="R8" s="6"/>
      <c r="T8" s="7"/>
    </row>
    <row r="9" ht="14.25" customHeight="1">
      <c r="B9" s="6"/>
      <c r="D9" s="7"/>
      <c r="F9" s="6"/>
      <c r="H9" s="7"/>
      <c r="J9" s="6"/>
      <c r="L9" s="7"/>
      <c r="N9" s="6"/>
      <c r="P9" s="7"/>
      <c r="R9" s="6"/>
      <c r="T9" s="7"/>
    </row>
    <row r="10" ht="14.25" customHeight="1">
      <c r="B10" s="8"/>
      <c r="C10" s="9"/>
      <c r="D10" s="10"/>
      <c r="F10" s="8"/>
      <c r="G10" s="9"/>
      <c r="H10" s="10"/>
      <c r="J10" s="8"/>
      <c r="K10" s="9"/>
      <c r="L10" s="10"/>
      <c r="N10" s="8"/>
      <c r="O10" s="9"/>
      <c r="P10" s="10"/>
      <c r="R10" s="8"/>
      <c r="S10" s="9"/>
      <c r="T10" s="10"/>
    </row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>
      <c r="X27" s="47"/>
      <c r="Y27" s="47"/>
      <c r="Z27" s="47"/>
      <c r="AA27" s="47"/>
    </row>
    <row r="28" ht="14.25" customHeight="1">
      <c r="X28" s="48"/>
      <c r="Y28" s="48"/>
      <c r="Z28" s="48"/>
      <c r="AA28" s="48"/>
    </row>
    <row r="29" ht="14.25" customHeight="1">
      <c r="A29" s="24"/>
      <c r="B29" s="24"/>
      <c r="C29" s="24"/>
      <c r="D29" s="24"/>
      <c r="E29" s="50"/>
      <c r="F29" s="50"/>
      <c r="G29" s="50"/>
      <c r="H29" s="50"/>
      <c r="I29" s="50"/>
      <c r="J29" s="50"/>
      <c r="X29" s="48"/>
      <c r="Y29" s="48"/>
      <c r="Z29" s="48"/>
      <c r="AA29" s="48"/>
    </row>
    <row r="30" ht="14.25" customHeight="1">
      <c r="A30" s="51"/>
      <c r="B30" s="52" t="s">
        <v>82</v>
      </c>
      <c r="C30" s="5"/>
      <c r="D30" s="53"/>
      <c r="E30" s="50"/>
      <c r="F30" s="50"/>
      <c r="G30" s="50"/>
      <c r="H30" s="50"/>
      <c r="I30" s="50"/>
      <c r="J30" s="50"/>
      <c r="X30" s="48"/>
      <c r="Y30" s="48"/>
      <c r="Z30" s="48"/>
      <c r="AA30" s="48"/>
    </row>
    <row r="31" ht="14.25" customHeight="1">
      <c r="A31" s="51"/>
      <c r="B31" s="8"/>
      <c r="C31" s="10"/>
      <c r="D31" s="53"/>
      <c r="E31" s="50"/>
      <c r="F31" s="50"/>
      <c r="G31" s="50"/>
      <c r="H31" s="50"/>
      <c r="I31" s="50"/>
      <c r="J31" s="50"/>
      <c r="L31" s="55" t="s">
        <v>83</v>
      </c>
      <c r="X31" s="48"/>
      <c r="Y31" s="48"/>
      <c r="Z31" s="48"/>
      <c r="AA31" s="48"/>
    </row>
    <row r="32" ht="14.25" customHeight="1">
      <c r="B32" s="50"/>
      <c r="C32" s="50"/>
      <c r="D32" s="53"/>
      <c r="E32" s="50"/>
      <c r="F32" s="50"/>
      <c r="G32" s="50"/>
      <c r="H32" s="50"/>
      <c r="I32" s="50"/>
      <c r="J32" s="50"/>
    </row>
    <row r="33" ht="27.75" customHeight="1">
      <c r="B33" s="57" t="s">
        <v>87</v>
      </c>
      <c r="C33" s="57" t="s">
        <v>90</v>
      </c>
      <c r="D33" s="53"/>
      <c r="E33" s="50"/>
      <c r="F33" s="50"/>
      <c r="G33" s="50"/>
      <c r="I33" s="58" t="s">
        <v>92</v>
      </c>
      <c r="J33" s="38"/>
      <c r="K33" s="39"/>
      <c r="L33" s="58" t="s">
        <v>94</v>
      </c>
      <c r="M33" s="38"/>
      <c r="N33" s="39"/>
      <c r="O33" s="58" t="s">
        <v>96</v>
      </c>
      <c r="P33" s="38"/>
      <c r="Q33" s="39"/>
    </row>
    <row r="34" ht="18.0" customHeight="1">
      <c r="B34" s="59">
        <v>1.0</v>
      </c>
      <c r="C34" s="59" t="str">
        <f t="array" ref="C34">IFERROR(INDEX('Materials &amp; Inventory'!$D$13:$D$5000,AGGREGATE(15,6,(ROW('Materials &amp; Inventory'!$D$13:$D$5000)-ROW('Materials &amp; Inventory'!$D$13)+1)/(('Materials &amp; Inventory'!$O$13:$O$5000="Critical")*(COUNTIF($C$33:C33,'Materials &amp; Inventory'!$D$13:$D$5000)=0)),1)),"")</f>
        <v/>
      </c>
      <c r="D34" s="61"/>
      <c r="E34" s="61"/>
      <c r="F34" s="61"/>
      <c r="G34" s="61"/>
      <c r="I34" s="63">
        <f>Budget!D6</f>
        <v>48342719</v>
      </c>
      <c r="L34" s="63">
        <v>1.68E7</v>
      </c>
      <c r="O34" s="63">
        <f>I34-L34</f>
        <v>31542719</v>
      </c>
    </row>
    <row r="35" ht="22.5" customHeight="1">
      <c r="B35" s="59">
        <v>2.0</v>
      </c>
      <c r="C35" s="59" t="str">
        <f t="array" ref="C35">IFERROR(INDEX('Materials &amp; Inventory'!$D$13:$D$5000,AGGREGATE(15,6,(ROW('Materials &amp; Inventory'!$D$13:$D$5000)-ROW('Materials &amp; Inventory'!$D$13)+1)/(('Materials &amp; Inventory'!$O$13:$O$5000="Critical")*(COUNTIF($C$33:C34,'Materials &amp; Inventory'!$D$13:$D$5000)=0)),1)),"")</f>
        <v/>
      </c>
      <c r="D35" s="61"/>
      <c r="E35" s="61"/>
      <c r="F35" s="61"/>
      <c r="G35" s="61"/>
    </row>
    <row r="36" ht="14.25" customHeight="1">
      <c r="A36" s="50"/>
      <c r="B36" s="59">
        <v>3.0</v>
      </c>
      <c r="C36" s="59" t="str">
        <f t="array" ref="C36">IFERROR(INDEX('Materials &amp; Inventory'!$D$13:$D$5000,AGGREGATE(15,6,(ROW('Materials &amp; Inventory'!$D$13:$D$5000)-ROW('Materials &amp; Inventory'!$D$13)+1)/(('Materials &amp; Inventory'!$O$13:$O$5000="Critical")*(COUNTIF($C$33:C35,'Materials &amp; Inventory'!$D$13:$D$5000)=0)),1)),"")</f>
        <v/>
      </c>
      <c r="D36" s="50"/>
      <c r="E36" s="50"/>
      <c r="F36" s="50"/>
      <c r="G36" s="50"/>
    </row>
    <row r="37" ht="14.25" customHeight="1">
      <c r="A37" s="50"/>
      <c r="B37" s="50"/>
      <c r="C37" s="66"/>
      <c r="D37" s="66"/>
      <c r="E37" s="66"/>
      <c r="F37" s="66"/>
      <c r="G37" s="50"/>
      <c r="H37" s="50"/>
      <c r="I37" s="50"/>
      <c r="J37" s="50"/>
      <c r="M37" s="67" t="s">
        <v>119</v>
      </c>
      <c r="N37" s="4"/>
      <c r="O37" s="4"/>
      <c r="P37" s="4"/>
      <c r="Q37" s="4"/>
      <c r="R37" s="5"/>
    </row>
    <row r="38" ht="14.25" customHeight="1">
      <c r="A38" s="50"/>
      <c r="B38" s="50"/>
      <c r="C38" s="66" t="str">
        <f t="array" ref="C38">IFERROR(INDEX('Materials &amp; Inventory'!$D$13:$D$5000,AGGREGATE(15,6,(ROW('Materials &amp; Inventory'!$D$13:$D$5000)-ROW('Materials &amp; Inventory'!$D$13)+1)/('Materials &amp; Inventory'!$O$13:$O$5000="Critical"),ROWS($C$33:C37))),"")</f>
        <v/>
      </c>
      <c r="D38" s="66"/>
      <c r="E38" s="66"/>
      <c r="F38" s="66"/>
      <c r="G38" s="50"/>
      <c r="H38" s="50"/>
      <c r="I38" s="50"/>
      <c r="J38" s="50"/>
      <c r="M38" s="6"/>
      <c r="R38" s="7"/>
    </row>
    <row r="39" ht="14.25" customHeight="1">
      <c r="A39" s="50"/>
      <c r="B39" s="50"/>
      <c r="C39" s="66" t="str">
        <f t="array" ref="C39">IFERROR(INDEX('Materials &amp; Inventory'!$D$13:$D$5000,AGGREGATE(15,6,(ROW('Materials &amp; Inventory'!$D$13:$D$5000)-ROW('Materials &amp; Inventory'!$D$13)+1)/('Materials &amp; Inventory'!$O$13:$O$5000="Critical"),ROWS($C$33:C38))),"")</f>
        <v/>
      </c>
      <c r="D39" s="66"/>
      <c r="E39" s="66"/>
      <c r="F39" s="66"/>
      <c r="G39" s="50"/>
      <c r="H39" s="50"/>
      <c r="I39" s="50"/>
      <c r="J39" s="50"/>
      <c r="M39" s="8"/>
      <c r="N39" s="9"/>
      <c r="O39" s="9"/>
      <c r="P39" s="9"/>
      <c r="Q39" s="9"/>
      <c r="R39" s="10"/>
    </row>
    <row r="40" ht="14.25" customHeight="1">
      <c r="A40" s="50"/>
      <c r="B40" s="50"/>
      <c r="C40" s="66" t="str">
        <f t="array" ref="C40">IFERROR(INDEX('Materials &amp; Inventory'!$D$13:$D$5000,AGGREGATE(15,6,(ROW('Materials &amp; Inventory'!$D$13:$D$5000)-ROW('Materials &amp; Inventory'!$D$13)+1)/('Materials &amp; Inventory'!$O$13:$O$5000="Critical"),ROWS($C$33:C39))),"")</f>
        <v/>
      </c>
      <c r="D40" s="66"/>
      <c r="E40" s="66"/>
      <c r="F40" s="66"/>
      <c r="G40" s="50"/>
      <c r="H40" s="50"/>
      <c r="I40" s="50"/>
      <c r="J40" s="50"/>
      <c r="M40" s="68">
        <f>L34/I34</f>
        <v>0.3475187236</v>
      </c>
    </row>
    <row r="41" ht="14.25" customHeight="1">
      <c r="C41" s="66" t="str">
        <f t="array" ref="C41">IFERROR(INDEX('Materials &amp; Inventory'!$D$13:$D$5000,AGGREGATE(15,6,(ROW('Materials &amp; Inventory'!$D$13:$D$5000)-ROW('Materials &amp; Inventory'!$D$13)+1)/('Materials &amp; Inventory'!$O$13:$O$5000="Critical"),ROWS($C$33:C40))),"")</f>
        <v/>
      </c>
      <c r="D41" s="66"/>
      <c r="E41" s="66"/>
      <c r="F41" s="66"/>
    </row>
    <row r="42" ht="14.25" customHeight="1">
      <c r="B42" s="48"/>
      <c r="C42" s="53" t="str">
        <f t="array" ref="C42">IFERROR(INDEX('Materials &amp; Inventory'!$D$13:$D$5000,AGGREGATE(15,6,(ROW('Materials &amp; Inventory'!$D$13:$D$5000)-ROW('Materials &amp; Inventory'!$D$13)+1)/('Materials &amp; Inventory'!$O$13:$O$5000="Critical"),ROWS($C$33:C40))),"")</f>
        <v/>
      </c>
      <c r="D42" s="53"/>
      <c r="E42" s="53"/>
      <c r="F42" s="53"/>
    </row>
    <row r="43" ht="14.25" customHeight="1">
      <c r="B43" s="48"/>
      <c r="C43" s="48"/>
      <c r="D43" s="48"/>
      <c r="E43" s="48"/>
      <c r="F43" s="48"/>
    </row>
    <row r="44" ht="14.25" customHeight="1">
      <c r="B44" s="48"/>
      <c r="C44" s="48"/>
      <c r="D44" s="48"/>
      <c r="E44" s="48"/>
      <c r="F44" s="48"/>
    </row>
    <row r="45" ht="14.25" customHeight="1">
      <c r="B45" s="48"/>
      <c r="C45" s="48"/>
      <c r="D45" s="48"/>
      <c r="E45" s="48"/>
      <c r="F45" s="48"/>
    </row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customSheetViews>
    <customSheetView guid="{9889C79D-6559-4DA3-8D35-97513C03DF50}" filter="1" showAutoFilter="1">
      <autoFilter ref="$B$33:$C$36"/>
    </customSheetView>
  </customSheetViews>
  <mergeCells count="23">
    <mergeCell ref="B2:S3"/>
    <mergeCell ref="T2:U3"/>
    <mergeCell ref="B4:S4"/>
    <mergeCell ref="F6:H6"/>
    <mergeCell ref="J6:L6"/>
    <mergeCell ref="N6:P6"/>
    <mergeCell ref="R6:T6"/>
    <mergeCell ref="B6:D6"/>
    <mergeCell ref="B7:D10"/>
    <mergeCell ref="F7:H10"/>
    <mergeCell ref="J7:L10"/>
    <mergeCell ref="N7:P10"/>
    <mergeCell ref="R7:T10"/>
    <mergeCell ref="B30:C31"/>
    <mergeCell ref="M37:R39"/>
    <mergeCell ref="M40:R41"/>
    <mergeCell ref="L31:T32"/>
    <mergeCell ref="I33:K33"/>
    <mergeCell ref="L33:N33"/>
    <mergeCell ref="O33:Q33"/>
    <mergeCell ref="I34:K35"/>
    <mergeCell ref="L34:N35"/>
    <mergeCell ref="O34:Q35"/>
  </mergeCells>
  <printOptions/>
  <pageMargins bottom="0.75" footer="0.0" header="0.0" left="0.7" right="0.7" top="0.75"/>
  <pageSetup orientation="portrait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4" width="8.71"/>
    <col customWidth="1" min="5" max="5" width="17.14"/>
    <col customWidth="1" min="6" max="6" width="16.0"/>
    <col customWidth="1" min="7" max="26" width="8.7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>
      <c r="I11" s="1">
        <f>Dashboard!L34/Dashboard!I34</f>
        <v>0.3475187236</v>
      </c>
    </row>
    <row r="12" ht="14.25" customHeight="1">
      <c r="I12" s="1">
        <f>1-Dashboard!M40</f>
        <v>0.6524812764</v>
      </c>
    </row>
    <row r="13" ht="14.25" customHeight="1">
      <c r="B13" s="2" t="s">
        <v>1</v>
      </c>
      <c r="C13" s="2" t="s">
        <v>2</v>
      </c>
      <c r="E13" s="2" t="s">
        <v>3</v>
      </c>
      <c r="F13" s="2" t="s">
        <v>4</v>
      </c>
    </row>
    <row r="14" ht="14.25" customHeight="1">
      <c r="B14" s="2" t="s">
        <v>5</v>
      </c>
      <c r="C14" s="2">
        <f>SUMIFS('Materials &amp; Inventory'!T:T,'Materials &amp; Inventory'!O:O,"Adequate")</f>
        <v>5</v>
      </c>
      <c r="E14" s="2" t="s">
        <v>6</v>
      </c>
      <c r="F14" s="2">
        <f>COUNTA('Compression Test '!B5:B1048576)</f>
        <v>5</v>
      </c>
    </row>
    <row r="15" ht="14.25" customHeight="1">
      <c r="B15" s="2" t="s">
        <v>8</v>
      </c>
      <c r="C15" s="2">
        <f>SUMIFS('Materials &amp; Inventory'!T:T,'Materials &amp; Inventory'!O:O,"Low")</f>
        <v>1</v>
      </c>
      <c r="E15" s="2" t="s">
        <v>10</v>
      </c>
      <c r="F15" s="2">
        <f>COUNTA('Flexural  Test '!B4:B1048576)</f>
        <v>5</v>
      </c>
    </row>
    <row r="16" ht="14.25" customHeight="1">
      <c r="B16" s="2" t="s">
        <v>14</v>
      </c>
      <c r="C16" s="2">
        <f>SUMIFS('Materials &amp; Inventory'!T:T,'Materials &amp; Inventory'!O:O,"Critical")</f>
        <v>1</v>
      </c>
      <c r="E16" s="2" t="s">
        <v>19</v>
      </c>
      <c r="F16" s="2">
        <f>COUNTA('Flow Table Test '!B5:B1048576)</f>
        <v>5</v>
      </c>
    </row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57"/>
    <col customWidth="1" min="2" max="2" width="14.43"/>
    <col customWidth="1" min="3" max="3" width="14.57"/>
    <col customWidth="1" min="4" max="4" width="10.14"/>
    <col customWidth="1" min="5" max="5" width="10.29"/>
    <col customWidth="1" min="6" max="6" width="9.57"/>
    <col customWidth="1" min="7" max="7" width="6.57"/>
    <col customWidth="1" min="8" max="8" width="16.71"/>
    <col customWidth="1" min="9" max="9" width="10.14"/>
    <col customWidth="1" min="10" max="10" width="11.71"/>
    <col customWidth="1" min="11" max="11" width="13.71"/>
    <col customWidth="1" min="12" max="12" width="15.86"/>
    <col customWidth="1" min="13" max="13" width="15.43"/>
    <col customWidth="1" min="14" max="14" width="18.86"/>
    <col customWidth="1" min="15" max="15" width="16.43"/>
    <col customWidth="1" min="16" max="16" width="18.43"/>
    <col customWidth="1" min="17" max="17" width="17.14"/>
    <col customWidth="1" min="18" max="18" width="31.14"/>
    <col customWidth="1" min="19" max="19" width="24.86"/>
    <col customWidth="1" min="20" max="26" width="8.71"/>
  </cols>
  <sheetData>
    <row r="1" ht="14.25" customHeight="1">
      <c r="A1" s="11" t="s">
        <v>7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5"/>
    </row>
    <row r="2" ht="14.25" customHeight="1">
      <c r="A2" s="6"/>
      <c r="S2" s="7"/>
    </row>
    <row r="3" ht="14.25" customHeight="1">
      <c r="A3" s="8"/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10"/>
    </row>
    <row r="4" ht="14.25" customHeight="1"/>
    <row r="5" ht="14.25" customHeight="1"/>
    <row r="6" ht="14.25" customHeight="1">
      <c r="L6" s="14"/>
      <c r="M6" s="14"/>
      <c r="N6" s="14"/>
      <c r="O6" s="14"/>
    </row>
    <row r="7" ht="14.25" customHeight="1">
      <c r="B7" s="17">
        <f>SUMPRODUCT(('Materials &amp; Inventory'!D13:D5003&lt;&gt;"")/COUNTIF('Materials &amp; Inventory'!D13:D5003,'Materials &amp; Inventory'!D13:D5003&amp;""))</f>
        <v>5</v>
      </c>
      <c r="C7" s="5"/>
      <c r="E7" s="17">
        <f>SUM('Materials &amp; Inventory'!S13:S1003)</f>
        <v>1</v>
      </c>
      <c r="F7" s="4"/>
      <c r="G7" s="5"/>
      <c r="I7" s="17">
        <f>COUNTIF(P7:P1003,"Yes")</f>
        <v>2</v>
      </c>
      <c r="J7" s="5"/>
      <c r="L7" s="20">
        <f>COUNTIF(Q12:Q1003,"Urgent")</f>
        <v>1</v>
      </c>
      <c r="M7" s="5"/>
      <c r="N7" s="21"/>
      <c r="O7" s="21"/>
    </row>
    <row r="8" ht="14.25" customHeight="1">
      <c r="B8" s="6"/>
      <c r="C8" s="7"/>
      <c r="E8" s="6"/>
      <c r="G8" s="7"/>
      <c r="I8" s="6"/>
      <c r="J8" s="7"/>
      <c r="L8" s="6"/>
      <c r="M8" s="7"/>
    </row>
    <row r="9" ht="14.25" customHeight="1">
      <c r="B9" s="8"/>
      <c r="C9" s="10"/>
      <c r="E9" s="8"/>
      <c r="F9" s="9"/>
      <c r="G9" s="10"/>
      <c r="I9" s="8"/>
      <c r="J9" s="10"/>
      <c r="L9" s="8"/>
      <c r="M9" s="10"/>
    </row>
    <row r="10" ht="14.25" customHeight="1">
      <c r="U10" s="22"/>
      <c r="V10" s="22"/>
      <c r="W10" s="22"/>
    </row>
    <row r="11" ht="14.25" customHeight="1">
      <c r="U11" s="22"/>
      <c r="V11" s="22"/>
      <c r="W11" s="22"/>
    </row>
    <row r="12" ht="14.25" customHeight="1">
      <c r="A12" s="12" t="s">
        <v>9</v>
      </c>
      <c r="B12" s="13" t="s">
        <v>11</v>
      </c>
      <c r="C12" s="13" t="s">
        <v>29</v>
      </c>
      <c r="D12" s="13" t="s">
        <v>30</v>
      </c>
      <c r="E12" s="13" t="s">
        <v>31</v>
      </c>
      <c r="F12" s="13" t="s">
        <v>32</v>
      </c>
      <c r="G12" s="13" t="s">
        <v>34</v>
      </c>
      <c r="H12" s="13" t="s">
        <v>35</v>
      </c>
      <c r="I12" s="13" t="s">
        <v>36</v>
      </c>
      <c r="J12" s="13" t="s">
        <v>37</v>
      </c>
      <c r="K12" s="13" t="s">
        <v>38</v>
      </c>
      <c r="L12" s="13" t="s">
        <v>39</v>
      </c>
      <c r="M12" s="13" t="s">
        <v>40</v>
      </c>
      <c r="N12" s="13" t="s">
        <v>41</v>
      </c>
      <c r="O12" s="13" t="s">
        <v>42</v>
      </c>
      <c r="P12" s="13" t="s">
        <v>43</v>
      </c>
      <c r="Q12" s="13" t="s">
        <v>44</v>
      </c>
      <c r="R12" s="13" t="s">
        <v>26</v>
      </c>
      <c r="S12" s="13" t="s">
        <v>46</v>
      </c>
      <c r="T12" s="13" t="s">
        <v>47</v>
      </c>
      <c r="U12" s="22"/>
      <c r="V12" s="22"/>
    </row>
    <row r="13" ht="14.25" customHeight="1">
      <c r="A13" s="15">
        <v>1.0</v>
      </c>
      <c r="B13" s="16">
        <v>46266.0</v>
      </c>
      <c r="C13" s="18" t="s">
        <v>48</v>
      </c>
      <c r="D13" s="18" t="s">
        <v>49</v>
      </c>
      <c r="E13" s="18" t="s">
        <v>50</v>
      </c>
      <c r="F13" s="18" t="s">
        <v>51</v>
      </c>
      <c r="G13" s="18" t="s">
        <v>52</v>
      </c>
      <c r="H13" s="19">
        <v>100.0</v>
      </c>
      <c r="I13" s="19">
        <v>200.0</v>
      </c>
      <c r="J13" s="19">
        <v>150.0</v>
      </c>
      <c r="K13" s="19">
        <f t="shared" ref="K13:K21" si="1">(H13+I13)-J13</f>
        <v>150</v>
      </c>
      <c r="L13" s="19">
        <v>200.0</v>
      </c>
      <c r="M13" s="19">
        <v>500.0</v>
      </c>
      <c r="N13" s="19">
        <f t="shared" ref="N13:N21" si="2">MAX(0,M13-K13)</f>
        <v>350</v>
      </c>
      <c r="O13" s="18" t="str">
        <f>IF(K13&lt;L13,"Critical",IF('Materials &amp; Inventory'!$K13&lt;'Materials &amp; Inventory'!$M13,"Low","Adequate"))</f>
        <v>Critical</v>
      </c>
      <c r="P13" s="18" t="str">
        <f t="shared" ref="P13:P21" si="3">IF(K13&lt;M13,"Yes","No")</f>
        <v>Yes</v>
      </c>
      <c r="Q13" s="18" t="str">
        <f t="shared" ref="Q13:Q21" si="4">IF(K13&lt;L13,"Urgent",IF(K13&lt;M13,"Normal","-"))</f>
        <v>Urgent</v>
      </c>
      <c r="R13" s="18" t="s">
        <v>55</v>
      </c>
      <c r="S13" s="18">
        <f t="shared" ref="S13:S21" si="5">IF(O13="Critical",IF(COUNTIFS($D$13:D13,D13,$O$13:O13,"Critical")=1,1,0),0)</f>
        <v>1</v>
      </c>
      <c r="T13" s="18">
        <f t="shared" ref="T13:T21" si="6">IF(D13="","",IF(COUNTIFS($D$13:D13,D13,$O$13:O13,O13)=1,1,0))</f>
        <v>1</v>
      </c>
      <c r="U13" s="22"/>
      <c r="V13" s="22"/>
    </row>
    <row r="14" ht="14.25" customHeight="1">
      <c r="A14" s="15">
        <v>2.0</v>
      </c>
      <c r="B14" s="16">
        <v>46266.0</v>
      </c>
      <c r="C14" s="18" t="s">
        <v>57</v>
      </c>
      <c r="D14" s="18" t="s">
        <v>58</v>
      </c>
      <c r="E14" s="18" t="s">
        <v>59</v>
      </c>
      <c r="F14" s="18" t="s">
        <v>51</v>
      </c>
      <c r="G14" s="18" t="s">
        <v>52</v>
      </c>
      <c r="H14" s="19">
        <v>400.0</v>
      </c>
      <c r="I14" s="19">
        <v>0.0</v>
      </c>
      <c r="J14" s="19">
        <v>180.0</v>
      </c>
      <c r="K14" s="19">
        <f t="shared" si="1"/>
        <v>220</v>
      </c>
      <c r="L14" s="19">
        <v>200.0</v>
      </c>
      <c r="M14" s="19">
        <v>500.0</v>
      </c>
      <c r="N14" s="19">
        <f t="shared" si="2"/>
        <v>280</v>
      </c>
      <c r="O14" s="18" t="str">
        <f>IF(K14&lt;L14,"Critical",IF('Materials &amp; Inventory'!$K14&lt;'Materials &amp; Inventory'!$M14,"Low","Adequate"))</f>
        <v>Low</v>
      </c>
      <c r="P14" s="18" t="str">
        <f t="shared" si="3"/>
        <v>Yes</v>
      </c>
      <c r="Q14" s="18" t="str">
        <f t="shared" si="4"/>
        <v>Normal</v>
      </c>
      <c r="R14" s="18" t="s">
        <v>66</v>
      </c>
      <c r="S14" s="18">
        <f t="shared" si="5"/>
        <v>0</v>
      </c>
      <c r="T14" s="18">
        <f t="shared" si="6"/>
        <v>1</v>
      </c>
    </row>
    <row r="15" ht="14.25" customHeight="1">
      <c r="A15" s="15">
        <v>3.0</v>
      </c>
      <c r="B15" s="16">
        <v>46266.0</v>
      </c>
      <c r="C15" s="18" t="s">
        <v>67</v>
      </c>
      <c r="D15" s="18" t="s">
        <v>68</v>
      </c>
      <c r="E15" s="18" t="s">
        <v>59</v>
      </c>
      <c r="F15" s="18" t="s">
        <v>51</v>
      </c>
      <c r="G15" s="18" t="s">
        <v>52</v>
      </c>
      <c r="H15" s="19">
        <v>500.0</v>
      </c>
      <c r="I15" s="19">
        <v>300.0</v>
      </c>
      <c r="J15" s="19">
        <v>100.0</v>
      </c>
      <c r="K15" s="19">
        <f t="shared" si="1"/>
        <v>700</v>
      </c>
      <c r="L15" s="19">
        <v>200.0</v>
      </c>
      <c r="M15" s="19">
        <v>500.0</v>
      </c>
      <c r="N15" s="19">
        <f t="shared" si="2"/>
        <v>0</v>
      </c>
      <c r="O15" s="18" t="str">
        <f>IF(K15&lt;L15,"Critical",IF('Materials &amp; Inventory'!$K15&lt;'Materials &amp; Inventory'!$M15,"Low","Adequate"))</f>
        <v>Adequate</v>
      </c>
      <c r="P15" s="18" t="str">
        <f t="shared" si="3"/>
        <v>No</v>
      </c>
      <c r="Q15" s="18" t="str">
        <f t="shared" si="4"/>
        <v>-</v>
      </c>
      <c r="R15" s="18" t="s">
        <v>55</v>
      </c>
      <c r="S15" s="18">
        <f t="shared" si="5"/>
        <v>0</v>
      </c>
      <c r="T15" s="18">
        <f t="shared" si="6"/>
        <v>1</v>
      </c>
    </row>
    <row r="16" ht="14.25" customHeight="1">
      <c r="A16" s="15">
        <v>4.0</v>
      </c>
      <c r="B16" s="16">
        <v>46266.0</v>
      </c>
      <c r="C16" s="18" t="s">
        <v>72</v>
      </c>
      <c r="D16" s="18" t="s">
        <v>74</v>
      </c>
      <c r="E16" s="18" t="s">
        <v>76</v>
      </c>
      <c r="F16" s="18"/>
      <c r="G16" s="18" t="s">
        <v>52</v>
      </c>
      <c r="H16" s="19">
        <v>50.0</v>
      </c>
      <c r="I16" s="19">
        <v>20.0</v>
      </c>
      <c r="J16" s="19">
        <v>15.0</v>
      </c>
      <c r="K16" s="19">
        <f t="shared" si="1"/>
        <v>55</v>
      </c>
      <c r="L16" s="19">
        <v>20.0</v>
      </c>
      <c r="M16" s="19">
        <v>15.0</v>
      </c>
      <c r="N16" s="19">
        <f t="shared" si="2"/>
        <v>0</v>
      </c>
      <c r="O16" s="18" t="str">
        <f>IF(K16&lt;L16,"Critical",IF('Materials &amp; Inventory'!$K16&lt;'Materials &amp; Inventory'!$M16,"Low","Adequate"))</f>
        <v>Adequate</v>
      </c>
      <c r="P16" s="18" t="str">
        <f t="shared" si="3"/>
        <v>No</v>
      </c>
      <c r="Q16" s="18" t="str">
        <f t="shared" si="4"/>
        <v>-</v>
      </c>
      <c r="R16" s="18"/>
      <c r="S16" s="18">
        <f t="shared" si="5"/>
        <v>0</v>
      </c>
      <c r="T16" s="18">
        <f t="shared" si="6"/>
        <v>1</v>
      </c>
    </row>
    <row r="17" ht="14.25" customHeight="1">
      <c r="A17" s="15">
        <v>5.0</v>
      </c>
      <c r="B17" s="16">
        <v>46266.0</v>
      </c>
      <c r="C17" s="18" t="s">
        <v>79</v>
      </c>
      <c r="D17" s="18" t="s">
        <v>80</v>
      </c>
      <c r="E17" s="18"/>
      <c r="F17" s="18"/>
      <c r="G17" s="18" t="s">
        <v>52</v>
      </c>
      <c r="H17" s="19">
        <v>250.0</v>
      </c>
      <c r="I17" s="19">
        <v>150.0</v>
      </c>
      <c r="J17" s="19">
        <v>156.0</v>
      </c>
      <c r="K17" s="19">
        <f t="shared" si="1"/>
        <v>244</v>
      </c>
      <c r="L17" s="19">
        <v>200.0</v>
      </c>
      <c r="M17" s="19">
        <v>100.0</v>
      </c>
      <c r="N17" s="19">
        <f t="shared" si="2"/>
        <v>0</v>
      </c>
      <c r="O17" s="18" t="str">
        <f>IF(K17&lt;L17,"Critical",IF('Materials &amp; Inventory'!$K17&lt;'Materials &amp; Inventory'!$M17,"Low","Adequate"))</f>
        <v>Adequate</v>
      </c>
      <c r="P17" s="18" t="str">
        <f t="shared" si="3"/>
        <v>No</v>
      </c>
      <c r="Q17" s="18" t="str">
        <f t="shared" si="4"/>
        <v>-</v>
      </c>
      <c r="R17" s="18"/>
      <c r="S17" s="18">
        <f t="shared" si="5"/>
        <v>0</v>
      </c>
      <c r="T17" s="18">
        <f t="shared" si="6"/>
        <v>1</v>
      </c>
    </row>
    <row r="18" ht="14.25" customHeight="1">
      <c r="A18" s="15">
        <v>6.0</v>
      </c>
      <c r="B18" s="16">
        <v>46267.0</v>
      </c>
      <c r="C18" s="18"/>
      <c r="D18" s="18" t="s">
        <v>49</v>
      </c>
      <c r="E18" s="18" t="s">
        <v>50</v>
      </c>
      <c r="F18" s="18"/>
      <c r="G18" s="18" t="s">
        <v>52</v>
      </c>
      <c r="H18" s="19">
        <f>IFERROR(SUMIFS(Table1[Closing Stock],Table1[Material],'Materials &amp; Inventory'!$D18,Table1[Date],'Materials &amp; Inventory'!$B18-1),"")</f>
        <v>150</v>
      </c>
      <c r="I18" s="19"/>
      <c r="J18" s="19"/>
      <c r="K18" s="19">
        <f t="shared" si="1"/>
        <v>150</v>
      </c>
      <c r="L18" s="19"/>
      <c r="M18" s="19"/>
      <c r="N18" s="19">
        <f t="shared" si="2"/>
        <v>0</v>
      </c>
      <c r="O18" s="18" t="str">
        <f>IF(K18&lt;L18,"Critical",IF('Materials &amp; Inventory'!$K18&lt;'Materials &amp; Inventory'!$M18,"Low","Adequate"))</f>
        <v>Adequate</v>
      </c>
      <c r="P18" s="18" t="str">
        <f t="shared" si="3"/>
        <v>No</v>
      </c>
      <c r="Q18" s="18" t="str">
        <f t="shared" si="4"/>
        <v>-</v>
      </c>
      <c r="R18" s="18"/>
      <c r="S18" s="18">
        <f t="shared" si="5"/>
        <v>0</v>
      </c>
      <c r="T18" s="18">
        <f t="shared" si="6"/>
        <v>1</v>
      </c>
    </row>
    <row r="19" ht="14.25" customHeight="1">
      <c r="B19" s="16">
        <v>46267.0</v>
      </c>
      <c r="C19" s="18"/>
      <c r="D19" s="18" t="s">
        <v>58</v>
      </c>
      <c r="E19" s="18" t="s">
        <v>59</v>
      </c>
      <c r="F19" s="18"/>
      <c r="G19" s="18" t="s">
        <v>52</v>
      </c>
      <c r="H19" s="19">
        <f>IFERROR(SUMIFS(Table1[Closing Stock],Table1[Material],'Materials &amp; Inventory'!$D19,Table1[Date],'Materials &amp; Inventory'!$B19-1),"")</f>
        <v>220</v>
      </c>
      <c r="I19" s="19"/>
      <c r="J19" s="19"/>
      <c r="K19" s="19">
        <f t="shared" si="1"/>
        <v>220</v>
      </c>
      <c r="L19" s="19"/>
      <c r="M19" s="19"/>
      <c r="N19" s="19">
        <f t="shared" si="2"/>
        <v>0</v>
      </c>
      <c r="O19" s="18" t="str">
        <f>IF(K19&lt;L19,"Critical",IF('Materials &amp; Inventory'!$K19&lt;'Materials &amp; Inventory'!$M19,"Low","Adequate"))</f>
        <v>Adequate</v>
      </c>
      <c r="P19" s="18" t="str">
        <f t="shared" si="3"/>
        <v>No</v>
      </c>
      <c r="Q19" s="18" t="str">
        <f t="shared" si="4"/>
        <v>-</v>
      </c>
      <c r="R19" s="18"/>
      <c r="S19" s="18">
        <f t="shared" si="5"/>
        <v>0</v>
      </c>
      <c r="T19" s="18">
        <f t="shared" si="6"/>
        <v>1</v>
      </c>
    </row>
    <row r="20" ht="14.25" customHeight="1">
      <c r="B20" s="16">
        <v>46267.0</v>
      </c>
      <c r="C20" s="18"/>
      <c r="D20" s="18" t="s">
        <v>68</v>
      </c>
      <c r="E20" s="18" t="s">
        <v>59</v>
      </c>
      <c r="F20" s="18"/>
      <c r="G20" s="18" t="s">
        <v>52</v>
      </c>
      <c r="H20" s="19">
        <f>IFERROR(SUMIFS(Table1[Closing Stock],Table1[Material],'Materials &amp; Inventory'!$D20,Table1[Date],'Materials &amp; Inventory'!$B20-1),"")</f>
        <v>700</v>
      </c>
      <c r="I20" s="19"/>
      <c r="J20" s="19"/>
      <c r="K20" s="19">
        <f t="shared" si="1"/>
        <v>700</v>
      </c>
      <c r="L20" s="19"/>
      <c r="M20" s="19"/>
      <c r="N20" s="19">
        <f t="shared" si="2"/>
        <v>0</v>
      </c>
      <c r="O20" s="18" t="str">
        <f>IF(K20&lt;L20,"Critical",IF('Materials &amp; Inventory'!$K20&lt;'Materials &amp; Inventory'!$M20,"Low","Adequate"))</f>
        <v>Adequate</v>
      </c>
      <c r="P20" s="18" t="str">
        <f t="shared" si="3"/>
        <v>No</v>
      </c>
      <c r="Q20" s="18" t="str">
        <f t="shared" si="4"/>
        <v>-</v>
      </c>
      <c r="R20" s="18"/>
      <c r="S20" s="18">
        <f t="shared" si="5"/>
        <v>0</v>
      </c>
      <c r="T20" s="18">
        <f t="shared" si="6"/>
        <v>0</v>
      </c>
    </row>
    <row r="21" ht="14.25" customHeight="1">
      <c r="B21" s="16">
        <v>46267.0</v>
      </c>
      <c r="C21" s="18"/>
      <c r="D21" s="18" t="s">
        <v>74</v>
      </c>
      <c r="E21" s="18" t="s">
        <v>76</v>
      </c>
      <c r="F21" s="18"/>
      <c r="G21" s="18" t="s">
        <v>52</v>
      </c>
      <c r="H21" s="19">
        <f>IFERROR(SUMIFS(Table1[Closing Stock],Table1[Material],'Materials &amp; Inventory'!$D21,Table1[Date],'Materials &amp; Inventory'!$B21-1),"")</f>
        <v>55</v>
      </c>
      <c r="I21" s="19"/>
      <c r="J21" s="19"/>
      <c r="K21" s="19">
        <f t="shared" si="1"/>
        <v>55</v>
      </c>
      <c r="L21" s="19"/>
      <c r="M21" s="19"/>
      <c r="N21" s="19">
        <f t="shared" si="2"/>
        <v>0</v>
      </c>
      <c r="O21" s="18" t="str">
        <f>IF(K21&lt;L21,"Critical",IF('Materials &amp; Inventory'!$K21&lt;'Materials &amp; Inventory'!$M21,"Low","Adequate"))</f>
        <v>Adequate</v>
      </c>
      <c r="P21" s="18" t="str">
        <f t="shared" si="3"/>
        <v>No</v>
      </c>
      <c r="Q21" s="18" t="str">
        <f t="shared" si="4"/>
        <v>-</v>
      </c>
      <c r="R21" s="18"/>
      <c r="S21" s="18">
        <f t="shared" si="5"/>
        <v>0</v>
      </c>
      <c r="T21" s="18">
        <f t="shared" si="6"/>
        <v>0</v>
      </c>
    </row>
    <row r="22" ht="14.25" customHeight="1">
      <c r="U22" s="22"/>
    </row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>
      <c r="B29" s="2" t="str">
        <f>B29:B30</f>
        <v>#REF!</v>
      </c>
    </row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customSheetViews>
    <customSheetView guid="{802F3ABE-A5F2-4534-B4B7-BB303E98BD3C}" filter="1" showAutoFilter="1">
      <autoFilter ref="$A$12:$T$21"/>
    </customSheetView>
  </customSheetViews>
  <mergeCells count="5">
    <mergeCell ref="A1:S3"/>
    <mergeCell ref="B7:C9"/>
    <mergeCell ref="E7:G9"/>
    <mergeCell ref="I7:J9"/>
    <mergeCell ref="L7:M9"/>
  </mergeCells>
  <conditionalFormatting sqref="O12:O21">
    <cfRule type="containsText" dxfId="5" priority="1" operator="containsText" text="Critical">
      <formula>NOT(ISERROR(SEARCH(("Critical"),(O12))))</formula>
    </cfRule>
  </conditionalFormatting>
  <conditionalFormatting sqref="O12:O21">
    <cfRule type="containsText" dxfId="6" priority="2" operator="containsText" text="Low">
      <formula>NOT(ISERROR(SEARCH(("Low"),(O12))))</formula>
    </cfRule>
  </conditionalFormatting>
  <conditionalFormatting sqref="O12:O21">
    <cfRule type="containsText" dxfId="7" priority="3" operator="containsText" text="Adequate ">
      <formula>NOT(ISERROR(SEARCH(("Adequate "),(O12))))</formula>
    </cfRule>
  </conditionalFormatting>
  <conditionalFormatting sqref="O13:O21">
    <cfRule type="containsText" dxfId="5" priority="4" operator="containsText" text="Critical">
      <formula>NOT(ISERROR(SEARCH(("Critical"),(O13))))</formula>
    </cfRule>
  </conditionalFormatting>
  <conditionalFormatting sqref="O13:O21">
    <cfRule type="containsText" dxfId="6" priority="5" operator="containsText" text="Low">
      <formula>NOT(ISERROR(SEARCH(("Low"),(O13))))</formula>
    </cfRule>
  </conditionalFormatting>
  <conditionalFormatting sqref="O13:O21">
    <cfRule type="containsText" dxfId="7" priority="6" operator="containsText" text="Adequate">
      <formula>NOT(ISERROR(SEARCH(("Adequate"),(O13))))</formula>
    </cfRule>
  </conditionalFormatting>
  <printOptions/>
  <pageMargins bottom="0.75" footer="0.0" header="0.0" left="0.7" right="0.7" top="0.75"/>
  <pageSetup orientation="portrait"/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12.86"/>
    <col customWidth="1" min="3" max="3" width="17.14"/>
    <col customWidth="1" min="4" max="4" width="15.29"/>
    <col customWidth="1" min="5" max="5" width="17.0"/>
    <col customWidth="1" min="6" max="6" width="8.71"/>
    <col customWidth="1" min="7" max="7" width="13.71"/>
    <col customWidth="1" min="8" max="8" width="10.29"/>
    <col customWidth="1" min="9" max="9" width="10.71"/>
    <col customWidth="1" min="10" max="10" width="13.43"/>
    <col customWidth="1" min="11" max="11" width="13.0"/>
    <col customWidth="1" min="12" max="12" width="11.43"/>
    <col customWidth="1" min="13" max="13" width="14.0"/>
    <col customWidth="1" min="14" max="14" width="11.43"/>
    <col customWidth="1" min="15" max="15" width="12.71"/>
    <col customWidth="1" min="16" max="16" width="12.86"/>
    <col customWidth="1" min="17" max="17" width="13.14"/>
    <col customWidth="1" min="18" max="18" width="22.0"/>
    <col customWidth="1" min="19" max="26" width="8.71"/>
  </cols>
  <sheetData>
    <row r="1" ht="14.25" customHeight="1">
      <c r="B1" s="3" t="s">
        <v>0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5"/>
    </row>
    <row r="2" ht="14.25" customHeight="1">
      <c r="B2" s="6"/>
      <c r="T2" s="7"/>
    </row>
    <row r="3" ht="14.25" customHeight="1">
      <c r="B3" s="8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10"/>
    </row>
    <row r="4" ht="14.25" customHeight="1"/>
    <row r="5" ht="14.25" customHeight="1">
      <c r="A5" s="12" t="s">
        <v>9</v>
      </c>
      <c r="B5" s="13" t="s">
        <v>11</v>
      </c>
      <c r="C5" s="13" t="s">
        <v>12</v>
      </c>
      <c r="D5" s="13" t="s">
        <v>13</v>
      </c>
      <c r="E5" s="13" t="s">
        <v>15</v>
      </c>
      <c r="F5" s="13" t="s">
        <v>16</v>
      </c>
      <c r="G5" s="13" t="s">
        <v>17</v>
      </c>
      <c r="H5" s="13" t="s">
        <v>18</v>
      </c>
      <c r="I5" s="13" t="s">
        <v>20</v>
      </c>
      <c r="J5" s="13" t="s">
        <v>21</v>
      </c>
      <c r="K5" s="13" t="s">
        <v>22</v>
      </c>
      <c r="L5" s="13" t="s">
        <v>23</v>
      </c>
      <c r="M5" s="13" t="s">
        <v>24</v>
      </c>
      <c r="N5" s="13" t="s">
        <v>25</v>
      </c>
      <c r="O5" s="13" t="s">
        <v>26</v>
      </c>
    </row>
    <row r="6" ht="18.0" customHeight="1">
      <c r="A6" s="15">
        <f>ROW() - ROW(Table13[[#HEADERS],[S.No]])</f>
        <v>1</v>
      </c>
      <c r="B6" s="16"/>
      <c r="C6" s="18" t="s">
        <v>27</v>
      </c>
      <c r="D6" s="18"/>
      <c r="E6" s="18"/>
      <c r="F6" s="18"/>
      <c r="G6" s="18"/>
      <c r="H6" s="19"/>
      <c r="I6" s="19"/>
      <c r="J6" s="19"/>
      <c r="K6" s="19"/>
      <c r="L6" s="19"/>
      <c r="M6" s="19"/>
      <c r="N6" s="19"/>
      <c r="O6" s="18"/>
    </row>
    <row r="7" ht="14.25" customHeight="1">
      <c r="A7" s="15">
        <f>ROW() - ROW(Table13[[#HEADERS],[S.No]])</f>
        <v>2</v>
      </c>
      <c r="B7" s="16"/>
      <c r="C7" s="18" t="s">
        <v>28</v>
      </c>
      <c r="D7" s="18"/>
      <c r="E7" s="18"/>
      <c r="F7" s="18"/>
      <c r="G7" s="18"/>
      <c r="H7" s="19"/>
      <c r="I7" s="19"/>
      <c r="J7" s="19"/>
      <c r="K7" s="19"/>
      <c r="L7" s="19"/>
      <c r="M7" s="19"/>
      <c r="N7" s="19"/>
      <c r="O7" s="18"/>
    </row>
    <row r="8" ht="14.25" customHeight="1">
      <c r="A8" s="15">
        <f>ROW() - ROW(Table13[[#HEADERS],[S.No]])</f>
        <v>3</v>
      </c>
      <c r="B8" s="16"/>
      <c r="C8" s="18" t="s">
        <v>33</v>
      </c>
      <c r="D8" s="18"/>
      <c r="E8" s="18"/>
      <c r="F8" s="18"/>
      <c r="G8" s="18"/>
      <c r="H8" s="19"/>
      <c r="I8" s="19"/>
      <c r="J8" s="19"/>
      <c r="K8" s="19"/>
      <c r="L8" s="19"/>
      <c r="M8" s="19"/>
      <c r="N8" s="19"/>
      <c r="O8" s="18"/>
    </row>
    <row r="9" ht="14.25" customHeight="1">
      <c r="A9" s="15">
        <f>ROW() - ROW(Table13[[#HEADERS],[S.No]])</f>
        <v>4</v>
      </c>
      <c r="B9" s="16"/>
      <c r="C9" s="18" t="s">
        <v>45</v>
      </c>
      <c r="D9" s="18"/>
      <c r="E9" s="18"/>
      <c r="F9" s="18"/>
      <c r="G9" s="18"/>
      <c r="H9" s="19"/>
      <c r="I9" s="19"/>
      <c r="J9" s="19"/>
      <c r="K9" s="19"/>
      <c r="L9" s="19"/>
      <c r="M9" s="19"/>
      <c r="N9" s="19"/>
      <c r="O9" s="18"/>
    </row>
    <row r="10" ht="14.25" customHeight="1">
      <c r="A10" s="15">
        <f>ROW() - ROW(Table13[[#HEADERS],[S.No]])</f>
        <v>5</v>
      </c>
      <c r="B10" s="16"/>
      <c r="C10" s="18" t="s">
        <v>53</v>
      </c>
      <c r="D10" s="18"/>
      <c r="E10" s="18"/>
      <c r="F10" s="18"/>
      <c r="G10" s="18"/>
      <c r="H10" s="19"/>
      <c r="I10" s="19"/>
      <c r="J10" s="19"/>
      <c r="K10" s="19"/>
      <c r="L10" s="19"/>
      <c r="M10" s="19"/>
      <c r="N10" s="19"/>
      <c r="O10" s="18"/>
    </row>
    <row r="11" ht="14.25" customHeight="1">
      <c r="A11" s="15">
        <v>6.0</v>
      </c>
      <c r="B11" s="16"/>
      <c r="C11" s="18" t="s">
        <v>54</v>
      </c>
      <c r="D11" s="18"/>
      <c r="E11" s="18"/>
      <c r="F11" s="18"/>
      <c r="G11" s="18"/>
      <c r="H11" s="19"/>
      <c r="I11" s="19"/>
      <c r="J11" s="19"/>
      <c r="K11" s="19"/>
      <c r="L11" s="19"/>
      <c r="M11" s="19"/>
      <c r="N11" s="19"/>
      <c r="O11" s="18"/>
    </row>
    <row r="12" ht="14.25" customHeight="1">
      <c r="B12" s="16"/>
      <c r="C12" s="18"/>
      <c r="D12" s="18"/>
      <c r="E12" s="18"/>
      <c r="F12" s="18"/>
      <c r="G12" s="18"/>
      <c r="H12" s="19"/>
      <c r="I12" s="19"/>
      <c r="J12" s="19"/>
      <c r="K12" s="19"/>
      <c r="L12" s="19"/>
      <c r="M12" s="19"/>
      <c r="N12" s="19"/>
      <c r="O12" s="18"/>
    </row>
    <row r="13" ht="14.25" customHeight="1">
      <c r="B13" s="16"/>
      <c r="C13" s="18"/>
      <c r="D13" s="18"/>
      <c r="E13" s="18"/>
      <c r="F13" s="18"/>
      <c r="G13" s="18"/>
      <c r="H13" s="19"/>
      <c r="I13" s="19"/>
      <c r="J13" s="19"/>
      <c r="K13" s="19"/>
      <c r="L13" s="19"/>
      <c r="M13" s="19"/>
      <c r="N13" s="19"/>
      <c r="O13" s="18"/>
    </row>
    <row r="14" ht="14.25" customHeight="1">
      <c r="B14" s="16"/>
      <c r="C14" s="18"/>
      <c r="D14" s="18"/>
      <c r="E14" s="18"/>
      <c r="F14" s="18"/>
      <c r="G14" s="18"/>
      <c r="H14" s="19"/>
      <c r="I14" s="19"/>
      <c r="J14" s="19"/>
      <c r="K14" s="19"/>
      <c r="L14" s="19"/>
      <c r="M14" s="19"/>
      <c r="N14" s="19"/>
      <c r="O14" s="18"/>
    </row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customSheetViews>
    <customSheetView guid="{3437F7CE-ED81-4B73-8B76-B2230F1D5E75}" filter="1" showAutoFilter="1">
      <autoFilter ref="$A$5:$O$14"/>
    </customSheetView>
  </customSheetViews>
  <mergeCells count="1">
    <mergeCell ref="B1:T3"/>
  </mergeCells>
  <conditionalFormatting sqref="O5:O14">
    <cfRule type="containsText" dxfId="5" priority="1" operator="containsText" text="Critical">
      <formula>NOT(ISERROR(SEARCH(("Critical"),(O5))))</formula>
    </cfRule>
  </conditionalFormatting>
  <conditionalFormatting sqref="O5:O14">
    <cfRule type="containsText" dxfId="6" priority="2" operator="containsText" text="Low">
      <formula>NOT(ISERROR(SEARCH(("Low"),(O5))))</formula>
    </cfRule>
  </conditionalFormatting>
  <conditionalFormatting sqref="O5:O14">
    <cfRule type="containsText" dxfId="7" priority="3" operator="containsText" text="Adequate ">
      <formula>NOT(ISERROR(SEARCH(("Adequate "),(O5))))</formula>
    </cfRule>
  </conditionalFormatting>
  <conditionalFormatting sqref="O6:O14">
    <cfRule type="containsText" dxfId="5" priority="4" operator="containsText" text="Critical">
      <formula>NOT(ISERROR(SEARCH(("Critical"),(O6))))</formula>
    </cfRule>
  </conditionalFormatting>
  <conditionalFormatting sqref="O6:O14">
    <cfRule type="containsText" dxfId="6" priority="5" operator="containsText" text="Low">
      <formula>NOT(ISERROR(SEARCH(("Low"),(O6))))</formula>
    </cfRule>
  </conditionalFormatting>
  <conditionalFormatting sqref="O6:O14">
    <cfRule type="containsText" dxfId="7" priority="6" operator="containsText" text="Adequate">
      <formula>NOT(ISERROR(SEARCH(("Adequate"),(O6))))</formula>
    </cfRule>
  </conditionalFormatting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15.14"/>
    <col customWidth="1" min="3" max="3" width="9.71"/>
    <col customWidth="1" min="4" max="6" width="11.43"/>
    <col customWidth="1" min="7" max="7" width="13.14"/>
    <col customWidth="1" min="8" max="8" width="17.14"/>
    <col customWidth="1" min="9" max="9" width="13.86"/>
    <col customWidth="1" min="10" max="10" width="9.86"/>
    <col customWidth="1" min="11" max="11" width="11.43"/>
    <col customWidth="1" min="12" max="12" width="8.71"/>
    <col customWidth="1" min="13" max="13" width="17.0"/>
    <col customWidth="1" min="14" max="14" width="7.29"/>
    <col customWidth="1" min="15" max="27" width="11.43"/>
    <col customWidth="1" min="28" max="28" width="14.43"/>
    <col customWidth="1" min="29" max="29" width="19.86"/>
    <col customWidth="1" min="30" max="30" width="22.57"/>
    <col customWidth="1" min="31" max="31" width="11.71"/>
    <col customWidth="1" min="32" max="33" width="8.71"/>
  </cols>
  <sheetData>
    <row r="1" ht="14.25" customHeight="1"/>
    <row r="2" ht="14.25" customHeight="1"/>
    <row r="3" ht="14.25" customHeight="1">
      <c r="A3" s="23" t="s">
        <v>56</v>
      </c>
      <c r="B3" s="4"/>
      <c r="C3" s="4"/>
      <c r="D3" s="4"/>
      <c r="E3" s="4"/>
      <c r="F3" s="4"/>
      <c r="G3" s="4"/>
      <c r="H3" s="5"/>
      <c r="I3" s="24"/>
      <c r="J3" s="24"/>
      <c r="K3" s="24"/>
      <c r="L3" s="24"/>
      <c r="M3" s="24"/>
    </row>
    <row r="4" ht="14.25" customHeight="1">
      <c r="A4" s="8"/>
      <c r="B4" s="9"/>
      <c r="C4" s="9"/>
      <c r="D4" s="9"/>
      <c r="E4" s="9"/>
      <c r="F4" s="9"/>
      <c r="G4" s="9"/>
      <c r="H4" s="10"/>
      <c r="I4" s="24"/>
      <c r="J4" s="24"/>
      <c r="K4" s="24"/>
      <c r="L4" s="24"/>
      <c r="M4" s="24"/>
    </row>
    <row r="5" ht="14.25" customHeight="1"/>
    <row r="6" ht="14.25" customHeight="1"/>
    <row r="7" ht="36.0" customHeight="1">
      <c r="A7" s="25" t="s">
        <v>9</v>
      </c>
      <c r="B7" s="26" t="s">
        <v>60</v>
      </c>
      <c r="C7" s="26" t="s">
        <v>61</v>
      </c>
      <c r="D7" s="26" t="s">
        <v>62</v>
      </c>
      <c r="E7" s="26" t="s">
        <v>63</v>
      </c>
      <c r="F7" s="26" t="s">
        <v>64</v>
      </c>
      <c r="G7" s="26" t="s">
        <v>65</v>
      </c>
      <c r="H7" s="27" t="s">
        <v>26</v>
      </c>
    </row>
    <row r="8" ht="14.25" customHeight="1">
      <c r="A8" s="28"/>
      <c r="B8" s="29"/>
      <c r="C8" s="30"/>
      <c r="D8" s="30"/>
      <c r="E8" s="30"/>
      <c r="F8" s="30"/>
      <c r="G8" s="30"/>
    </row>
    <row r="9" ht="14.25" customHeight="1">
      <c r="A9" s="31"/>
      <c r="B9" s="32"/>
      <c r="C9" s="33"/>
      <c r="D9" s="33"/>
      <c r="E9" s="33"/>
      <c r="F9" s="33"/>
      <c r="G9" s="33"/>
    </row>
    <row r="10" ht="14.25" customHeight="1">
      <c r="A10" s="28"/>
      <c r="B10" s="29"/>
      <c r="C10" s="30"/>
      <c r="D10" s="30"/>
      <c r="E10" s="30"/>
      <c r="F10" s="30"/>
      <c r="G10" s="30"/>
    </row>
    <row r="11" ht="14.25" customHeight="1">
      <c r="A11" s="31"/>
      <c r="B11" s="32"/>
      <c r="C11" s="33"/>
      <c r="D11" s="33"/>
      <c r="E11" s="33"/>
      <c r="F11" s="33"/>
      <c r="G11" s="33"/>
    </row>
    <row r="12" ht="14.25" customHeight="1">
      <c r="A12" s="28"/>
      <c r="B12" s="29"/>
      <c r="C12" s="30"/>
      <c r="D12" s="30"/>
      <c r="E12" s="30"/>
      <c r="F12" s="30"/>
      <c r="G12" s="30"/>
    </row>
    <row r="13" ht="14.25" customHeight="1">
      <c r="A13" s="31"/>
      <c r="B13" s="32"/>
      <c r="C13" s="33"/>
      <c r="D13" s="33"/>
      <c r="E13" s="33"/>
      <c r="F13" s="33"/>
      <c r="G13" s="33"/>
    </row>
    <row r="14" ht="14.25" customHeight="1">
      <c r="A14" s="28"/>
      <c r="B14" s="29"/>
      <c r="C14" s="30"/>
      <c r="D14" s="30"/>
      <c r="E14" s="30"/>
      <c r="F14" s="30"/>
      <c r="G14" s="30"/>
    </row>
    <row r="15" ht="14.25" customHeight="1">
      <c r="A15" s="31"/>
      <c r="B15" s="32"/>
      <c r="C15" s="33"/>
      <c r="D15" s="33"/>
      <c r="E15" s="33"/>
      <c r="F15" s="33"/>
      <c r="G15" s="33"/>
    </row>
    <row r="16" ht="14.25" customHeight="1">
      <c r="A16" s="42"/>
      <c r="B16" s="43"/>
      <c r="C16" s="45"/>
      <c r="D16" s="45"/>
      <c r="E16" s="45"/>
      <c r="F16" s="45"/>
      <c r="G16" s="45"/>
    </row>
    <row r="17" ht="14.25" customHeight="1"/>
    <row r="18" ht="14.25" customHeight="1"/>
    <row r="19" ht="14.25" customHeight="1"/>
    <row r="20" ht="14.25" customHeight="1"/>
    <row r="21" ht="14.25" customHeight="1">
      <c r="A21" s="46"/>
      <c r="B21" s="23" t="s">
        <v>81</v>
      </c>
      <c r="C21" s="4"/>
      <c r="D21" s="4"/>
      <c r="E21" s="4"/>
      <c r="F21" s="4"/>
      <c r="G21" s="4"/>
      <c r="H21" s="4"/>
      <c r="I21" s="4"/>
      <c r="J21" s="4"/>
      <c r="K21" s="4"/>
      <c r="L21" s="4"/>
      <c r="M21" s="5"/>
      <c r="N21" s="35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5"/>
    </row>
    <row r="22" ht="14.25" customHeight="1">
      <c r="A22" s="49"/>
      <c r="B22" s="8"/>
      <c r="C22" s="9"/>
      <c r="D22" s="9"/>
      <c r="E22" s="9"/>
      <c r="F22" s="9"/>
      <c r="G22" s="9"/>
      <c r="H22" s="9"/>
      <c r="I22" s="9"/>
      <c r="J22" s="9"/>
      <c r="K22" s="9"/>
      <c r="L22" s="9"/>
      <c r="M22" s="10"/>
      <c r="N22" s="8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10"/>
    </row>
    <row r="23" ht="14.25" customHeight="1"/>
    <row r="24" ht="14.25" customHeight="1"/>
    <row r="25" ht="14.25" customHeight="1"/>
    <row r="26" ht="14.25" customHeight="1"/>
    <row r="27" ht="14.25" customHeight="1">
      <c r="A27" s="54" t="s">
        <v>9</v>
      </c>
      <c r="B27" s="56" t="s">
        <v>11</v>
      </c>
      <c r="C27" s="56" t="s">
        <v>84</v>
      </c>
      <c r="D27" s="56" t="s">
        <v>85</v>
      </c>
      <c r="E27" s="56" t="s">
        <v>86</v>
      </c>
      <c r="F27" s="56" t="s">
        <v>88</v>
      </c>
      <c r="G27" s="56" t="s">
        <v>89</v>
      </c>
      <c r="H27" s="56" t="s">
        <v>91</v>
      </c>
      <c r="I27" s="56" t="s">
        <v>93</v>
      </c>
      <c r="J27" s="56" t="s">
        <v>95</v>
      </c>
      <c r="K27" s="56" t="s">
        <v>97</v>
      </c>
      <c r="L27" s="56" t="s">
        <v>98</v>
      </c>
      <c r="M27" s="56" t="s">
        <v>99</v>
      </c>
      <c r="N27" s="56" t="s">
        <v>100</v>
      </c>
      <c r="O27" s="56" t="s">
        <v>101</v>
      </c>
      <c r="P27" s="56" t="s">
        <v>102</v>
      </c>
      <c r="Q27" s="56" t="s">
        <v>103</v>
      </c>
      <c r="R27" s="56" t="s">
        <v>104</v>
      </c>
      <c r="S27" s="56" t="s">
        <v>105</v>
      </c>
      <c r="T27" s="56" t="s">
        <v>106</v>
      </c>
      <c r="U27" s="56" t="s">
        <v>107</v>
      </c>
      <c r="V27" s="56" t="s">
        <v>108</v>
      </c>
      <c r="W27" s="56" t="s">
        <v>109</v>
      </c>
      <c r="X27" s="56" t="s">
        <v>110</v>
      </c>
      <c r="Y27" s="56" t="s">
        <v>111</v>
      </c>
      <c r="Z27" s="56" t="s">
        <v>112</v>
      </c>
      <c r="AA27" s="56" t="s">
        <v>113</v>
      </c>
      <c r="AB27" s="56" t="s">
        <v>114</v>
      </c>
      <c r="AC27" s="56" t="s">
        <v>115</v>
      </c>
      <c r="AD27" s="56" t="s">
        <v>116</v>
      </c>
      <c r="AE27" s="56" t="s">
        <v>117</v>
      </c>
      <c r="AF27" s="56" t="s">
        <v>118</v>
      </c>
      <c r="AG27" s="60" t="s">
        <v>26</v>
      </c>
    </row>
    <row r="28" ht="14.25" customHeight="1">
      <c r="A28" s="28">
        <v>1.0</v>
      </c>
      <c r="B28" s="29">
        <v>46272.0</v>
      </c>
      <c r="C28" s="30"/>
      <c r="D28" s="30">
        <v>1.0</v>
      </c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62"/>
      <c r="AC28" s="62"/>
      <c r="AD28" s="62"/>
      <c r="AE28" s="62"/>
      <c r="AF28" s="30"/>
      <c r="AG28" s="64"/>
    </row>
    <row r="29" ht="14.25" customHeight="1">
      <c r="A29" s="31">
        <v>2.0</v>
      </c>
      <c r="B29" s="32">
        <v>46273.0</v>
      </c>
      <c r="C29" s="33"/>
      <c r="D29" s="33">
        <v>2.0</v>
      </c>
      <c r="E29" s="33"/>
      <c r="F29" s="33"/>
      <c r="G29" s="33"/>
      <c r="H29" s="33"/>
      <c r="I29" s="33"/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65"/>
      <c r="AC29" s="65"/>
      <c r="AD29" s="65"/>
      <c r="AE29" s="65"/>
      <c r="AF29" s="33"/>
    </row>
    <row r="30" ht="14.25" customHeight="1">
      <c r="A30" s="28">
        <v>3.0</v>
      </c>
      <c r="B30" s="29">
        <v>46274.0</v>
      </c>
      <c r="C30" s="30"/>
      <c r="D30" s="30">
        <v>3.0</v>
      </c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62"/>
      <c r="AC30" s="62"/>
      <c r="AD30" s="62"/>
      <c r="AE30" s="62"/>
      <c r="AF30" s="30"/>
      <c r="AG30" s="64"/>
    </row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customSheetViews>
    <customSheetView guid="{63871BF6-8297-43B9-9E06-B3505895C93D}" filter="1" showAutoFilter="1">
      <autoFilter ref="$A$7:$G$16"/>
    </customSheetView>
    <customSheetView guid="{B9866DC5-8F9B-417F-AFE8-F2959B714FC6}" filter="1" showAutoFilter="1">
      <autoFilter ref="$H$7:$H$16"/>
    </customSheetView>
    <customSheetView guid="{0950B62F-89B8-4B13-BDF4-F1F45C6A6672}" filter="1" showAutoFilter="1">
      <autoFilter ref="$A$27:$AG$30"/>
    </customSheetView>
  </customSheetViews>
  <mergeCells count="4">
    <mergeCell ref="A3:H4"/>
    <mergeCell ref="A21:A22"/>
    <mergeCell ref="B21:M22"/>
    <mergeCell ref="N21:AG22"/>
  </mergeCells>
  <conditionalFormatting sqref="AF27:AF30">
    <cfRule type="containsText" dxfId="5" priority="1" operator="containsText" text="Critical">
      <formula>NOT(ISERROR(SEARCH(("Critical"),(AF27))))</formula>
    </cfRule>
  </conditionalFormatting>
  <conditionalFormatting sqref="AF27:AF30">
    <cfRule type="containsText" dxfId="6" priority="2" operator="containsText" text="Low">
      <formula>NOT(ISERROR(SEARCH(("Low"),(AF27))))</formula>
    </cfRule>
  </conditionalFormatting>
  <conditionalFormatting sqref="AF27:AF30">
    <cfRule type="containsText" dxfId="7" priority="3" operator="containsText" text="Adequate ">
      <formula>NOT(ISERROR(SEARCH(("Adequate "),(AF27))))</formula>
    </cfRule>
  </conditionalFormatting>
  <conditionalFormatting sqref="AF28:AF30">
    <cfRule type="containsText" dxfId="5" priority="4" operator="containsText" text="Critical">
      <formula>NOT(ISERROR(SEARCH(("Critical"),(AF28))))</formula>
    </cfRule>
  </conditionalFormatting>
  <conditionalFormatting sqref="AF28:AF30">
    <cfRule type="containsText" dxfId="6" priority="5" operator="containsText" text="Low">
      <formula>NOT(ISERROR(SEARCH(("Low"),(AF28))))</formula>
    </cfRule>
  </conditionalFormatting>
  <conditionalFormatting sqref="AF28:AF30">
    <cfRule type="containsText" dxfId="7" priority="6" operator="containsText" text="Adequate">
      <formula>NOT(ISERROR(SEARCH(("Adequate"),(AF28))))</formula>
    </cfRule>
  </conditionalFormatting>
  <printOptions/>
  <pageMargins bottom="0.75" footer="0.0" header="0.0" left="0.7" right="0.7" top="0.75"/>
  <pageSetup orientation="landscape"/>
  <drawing r:id="rId1"/>
  <tableParts count="3">
    <tablePart r:id="rId5"/>
    <tablePart r:id="rId6"/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20.43"/>
    <col customWidth="1" min="3" max="9" width="8.71"/>
    <col customWidth="1" min="10" max="10" width="12.43"/>
    <col customWidth="1" min="11" max="26" width="8.71"/>
  </cols>
  <sheetData>
    <row r="1" ht="14.25" customHeight="1">
      <c r="B1" s="23" t="s">
        <v>120</v>
      </c>
      <c r="C1" s="4"/>
      <c r="D1" s="4"/>
      <c r="E1" s="4"/>
      <c r="F1" s="4"/>
      <c r="G1" s="4"/>
      <c r="H1" s="4"/>
      <c r="I1" s="4"/>
      <c r="J1" s="4"/>
      <c r="K1" s="4"/>
      <c r="L1" s="4"/>
      <c r="M1" s="5"/>
    </row>
    <row r="2" ht="14.25" customHeight="1">
      <c r="B2" s="8"/>
      <c r="C2" s="9"/>
      <c r="D2" s="9"/>
      <c r="E2" s="9"/>
      <c r="F2" s="9"/>
      <c r="G2" s="9"/>
      <c r="H2" s="9"/>
      <c r="I2" s="9"/>
      <c r="J2" s="9"/>
      <c r="K2" s="9"/>
      <c r="L2" s="9"/>
      <c r="M2" s="10"/>
    </row>
    <row r="3" ht="14.25" customHeight="1"/>
    <row r="4" ht="14.25" customHeight="1">
      <c r="A4" s="12" t="s">
        <v>9</v>
      </c>
      <c r="B4" s="13" t="s">
        <v>11</v>
      </c>
      <c r="C4" s="13" t="s">
        <v>121</v>
      </c>
      <c r="D4" s="13" t="s">
        <v>84</v>
      </c>
      <c r="E4" s="13" t="s">
        <v>122</v>
      </c>
      <c r="F4" s="13" t="s">
        <v>123</v>
      </c>
      <c r="G4" s="13" t="s">
        <v>124</v>
      </c>
      <c r="H4" s="13" t="s">
        <v>125</v>
      </c>
      <c r="I4" s="13" t="s">
        <v>126</v>
      </c>
      <c r="J4" s="13" t="s">
        <v>127</v>
      </c>
      <c r="K4" s="13" t="s">
        <v>128</v>
      </c>
      <c r="L4" s="13" t="s">
        <v>129</v>
      </c>
      <c r="M4" s="13" t="s">
        <v>130</v>
      </c>
      <c r="N4" s="13" t="s">
        <v>131</v>
      </c>
      <c r="O4" s="13" t="s">
        <v>132</v>
      </c>
      <c r="P4" s="13" t="s">
        <v>133</v>
      </c>
      <c r="Q4" s="13" t="s">
        <v>134</v>
      </c>
      <c r="R4" s="13" t="s">
        <v>108</v>
      </c>
    </row>
    <row r="5" ht="14.25" customHeight="1">
      <c r="A5" s="15">
        <f>ROW() - ROW(Table134[[#HEADERS],[S.No]])</f>
        <v>1</v>
      </c>
      <c r="B5" s="16">
        <v>46266.0</v>
      </c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9"/>
      <c r="R5" s="19"/>
    </row>
    <row r="6" ht="14.25" customHeight="1">
      <c r="A6" s="15">
        <f>ROW() - ROW(Table134[[#HEADERS],[S.No]])</f>
        <v>2</v>
      </c>
      <c r="B6" s="16">
        <v>46267.0</v>
      </c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9"/>
      <c r="R6" s="19"/>
    </row>
    <row r="7" ht="14.25" customHeight="1">
      <c r="A7" s="15">
        <f>ROW() - ROW(Table134[[#HEADERS],[S.No]])</f>
        <v>3</v>
      </c>
      <c r="B7" s="16">
        <v>46268.0</v>
      </c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9"/>
      <c r="R7" s="19"/>
    </row>
    <row r="8" ht="14.25" customHeight="1">
      <c r="A8" s="15">
        <f>ROW() - ROW(Table134[[#HEADERS],[S.No]])</f>
        <v>4</v>
      </c>
      <c r="B8" s="16">
        <v>46269.0</v>
      </c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9"/>
      <c r="R8" s="19"/>
    </row>
    <row r="9" ht="14.25" customHeight="1">
      <c r="A9" s="15">
        <f>ROW() - ROW(Table134[[#HEADERS],[S.No]])</f>
        <v>5</v>
      </c>
      <c r="B9" s="16">
        <v>46270.0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9"/>
      <c r="R9" s="19"/>
    </row>
    <row r="10" ht="14.25" customHeight="1">
      <c r="B10" s="16"/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9"/>
      <c r="R10" s="19"/>
    </row>
    <row r="11" ht="14.25" customHeight="1">
      <c r="B11" s="16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9"/>
      <c r="R11" s="19"/>
    </row>
    <row r="12" ht="14.25" customHeight="1">
      <c r="B12" s="16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9"/>
      <c r="R12" s="19"/>
    </row>
    <row r="13" ht="14.25" customHeight="1">
      <c r="B13" s="16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9"/>
      <c r="R13" s="19"/>
    </row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customSheetViews>
    <customSheetView guid="{DE5B299E-A46F-45E1-BDE2-00F27E9D1C6D}" filter="1" showAutoFilter="1">
      <autoFilter ref="$A$4:$R$13"/>
    </customSheetView>
  </customSheetViews>
  <mergeCells count="1">
    <mergeCell ref="B1:M2"/>
  </mergeCell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22.86"/>
    <col customWidth="1" min="3" max="20" width="8.71"/>
    <col customWidth="1" min="21" max="21" width="14.0"/>
    <col customWidth="1" min="22" max="24" width="8.71"/>
    <col customWidth="1" min="25" max="27" width="11.43"/>
    <col customWidth="1" min="28" max="28" width="15.29"/>
    <col customWidth="1" min="29" max="29" width="11.43"/>
  </cols>
  <sheetData>
    <row r="1" ht="14.25" customHeight="1">
      <c r="B1" s="23" t="s">
        <v>135</v>
      </c>
      <c r="C1" s="4"/>
      <c r="D1" s="4"/>
      <c r="E1" s="4"/>
      <c r="F1" s="4"/>
      <c r="G1" s="4"/>
      <c r="H1" s="4"/>
      <c r="I1" s="4"/>
      <c r="J1" s="4"/>
      <c r="K1" s="4"/>
      <c r="L1" s="4"/>
      <c r="M1" s="5"/>
    </row>
    <row r="2" ht="14.25" customHeight="1">
      <c r="B2" s="8"/>
      <c r="C2" s="9"/>
      <c r="D2" s="9"/>
      <c r="E2" s="9"/>
      <c r="F2" s="9"/>
      <c r="G2" s="9"/>
      <c r="H2" s="9"/>
      <c r="I2" s="9"/>
      <c r="J2" s="9"/>
      <c r="K2" s="9"/>
      <c r="L2" s="9"/>
      <c r="M2" s="10"/>
    </row>
    <row r="3" ht="14.25" customHeight="1"/>
    <row r="4" ht="14.25" customHeight="1">
      <c r="A4" s="12" t="s">
        <v>9</v>
      </c>
      <c r="B4" s="13" t="s">
        <v>11</v>
      </c>
      <c r="C4" s="13" t="s">
        <v>136</v>
      </c>
      <c r="D4" s="13" t="s">
        <v>137</v>
      </c>
      <c r="E4" s="13" t="s">
        <v>84</v>
      </c>
      <c r="F4" s="13" t="s">
        <v>138</v>
      </c>
      <c r="G4" s="13" t="s">
        <v>139</v>
      </c>
      <c r="H4" s="13" t="s">
        <v>140</v>
      </c>
      <c r="I4" s="13" t="s">
        <v>141</v>
      </c>
      <c r="J4" s="13" t="s">
        <v>142</v>
      </c>
      <c r="K4" s="13" t="s">
        <v>143</v>
      </c>
      <c r="L4" s="13" t="s">
        <v>116</v>
      </c>
      <c r="M4" s="13" t="s">
        <v>144</v>
      </c>
      <c r="N4" s="13" t="s">
        <v>145</v>
      </c>
      <c r="O4" s="13" t="s">
        <v>146</v>
      </c>
      <c r="P4" s="13" t="s">
        <v>147</v>
      </c>
      <c r="Q4" s="13" t="s">
        <v>148</v>
      </c>
      <c r="R4" s="13" t="s">
        <v>149</v>
      </c>
      <c r="S4" s="13" t="s">
        <v>150</v>
      </c>
      <c r="T4" s="13" t="s">
        <v>151</v>
      </c>
      <c r="U4" s="13" t="s">
        <v>152</v>
      </c>
      <c r="V4" s="13" t="s">
        <v>153</v>
      </c>
      <c r="W4" s="13" t="s">
        <v>154</v>
      </c>
      <c r="X4" s="13" t="s">
        <v>155</v>
      </c>
      <c r="Y4" s="12" t="s">
        <v>156</v>
      </c>
      <c r="Z4" s="12" t="s">
        <v>157</v>
      </c>
      <c r="AA4" s="12" t="s">
        <v>158</v>
      </c>
      <c r="AB4" s="12" t="s">
        <v>159</v>
      </c>
      <c r="AC4" s="12" t="s">
        <v>160</v>
      </c>
    </row>
    <row r="5" ht="14.25" customHeight="1">
      <c r="A5" s="15">
        <f>ROW() - ROW(Table1345[[#HEADERS],[S.No]])</f>
        <v>1</v>
      </c>
      <c r="B5" s="16">
        <v>46266.0</v>
      </c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9"/>
      <c r="Q5" s="19"/>
      <c r="R5" s="19"/>
      <c r="S5" s="19"/>
      <c r="T5" s="19"/>
      <c r="U5" s="18"/>
      <c r="V5" s="18"/>
      <c r="W5" s="18"/>
      <c r="X5" s="18"/>
    </row>
    <row r="6" ht="14.25" customHeight="1">
      <c r="A6" s="15">
        <f>ROW() - ROW(Table1345[[#HEADERS],[S.No]])</f>
        <v>2</v>
      </c>
      <c r="B6" s="16">
        <v>46267.0</v>
      </c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9"/>
      <c r="Q6" s="19"/>
      <c r="R6" s="19"/>
      <c r="S6" s="19"/>
      <c r="T6" s="19"/>
      <c r="U6" s="18"/>
      <c r="V6" s="18"/>
      <c r="W6" s="18"/>
      <c r="X6" s="18"/>
    </row>
    <row r="7" ht="14.25" customHeight="1">
      <c r="A7" s="15">
        <f>ROW() - ROW(Table1345[[#HEADERS],[S.No]])</f>
        <v>3</v>
      </c>
      <c r="B7" s="16">
        <v>46268.0</v>
      </c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9"/>
      <c r="Q7" s="19"/>
      <c r="R7" s="19"/>
      <c r="S7" s="19"/>
      <c r="T7" s="19"/>
      <c r="U7" s="18"/>
      <c r="V7" s="18"/>
      <c r="W7" s="18"/>
      <c r="X7" s="18"/>
    </row>
    <row r="8" ht="14.25" customHeight="1">
      <c r="A8" s="15">
        <f>ROW() - ROW(Table1345[[#HEADERS],[S.No]])</f>
        <v>4</v>
      </c>
      <c r="B8" s="16">
        <v>46269.0</v>
      </c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9"/>
      <c r="Q8" s="19"/>
      <c r="R8" s="19"/>
      <c r="S8" s="19"/>
      <c r="T8" s="19"/>
      <c r="U8" s="18"/>
      <c r="V8" s="18"/>
      <c r="W8" s="18"/>
      <c r="X8" s="18"/>
    </row>
    <row r="9" ht="14.25" customHeight="1">
      <c r="A9" s="15">
        <f>ROW() - ROW(Table1345[[#HEADERS],[S.No]])</f>
        <v>5</v>
      </c>
      <c r="B9" s="16">
        <v>46270.0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9"/>
      <c r="Q9" s="19"/>
      <c r="R9" s="19"/>
      <c r="S9" s="19"/>
      <c r="T9" s="19"/>
      <c r="U9" s="18"/>
      <c r="V9" s="18"/>
      <c r="W9" s="18"/>
      <c r="X9" s="18"/>
    </row>
    <row r="10" ht="14.25" customHeight="1">
      <c r="B10" s="16"/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9"/>
      <c r="Q10" s="19"/>
      <c r="R10" s="19"/>
      <c r="S10" s="19"/>
      <c r="T10" s="19"/>
      <c r="U10" s="18"/>
      <c r="V10" s="18"/>
      <c r="W10" s="18"/>
      <c r="X10" s="18"/>
    </row>
    <row r="11" ht="14.25" customHeight="1">
      <c r="B11" s="16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9"/>
      <c r="Q11" s="19"/>
      <c r="R11" s="19"/>
      <c r="S11" s="19"/>
      <c r="T11" s="19"/>
      <c r="U11" s="18"/>
      <c r="V11" s="18"/>
      <c r="W11" s="18"/>
      <c r="X11" s="18"/>
    </row>
    <row r="12" ht="14.25" customHeight="1">
      <c r="B12" s="16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9"/>
      <c r="Q12" s="19"/>
      <c r="R12" s="19"/>
      <c r="S12" s="19"/>
      <c r="T12" s="19"/>
      <c r="U12" s="18"/>
      <c r="V12" s="18"/>
      <c r="W12" s="18"/>
      <c r="X12" s="18"/>
    </row>
    <row r="13" ht="14.25" customHeight="1">
      <c r="B13" s="16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9"/>
      <c r="Q13" s="19"/>
      <c r="R13" s="19"/>
      <c r="S13" s="19"/>
      <c r="T13" s="19"/>
      <c r="U13" s="18"/>
      <c r="V13" s="18"/>
      <c r="W13" s="18"/>
      <c r="X13" s="18"/>
    </row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customSheetViews>
    <customSheetView guid="{30285386-1D27-458E-AFB8-8D67F6D04A61}" filter="1" showAutoFilter="1">
      <autoFilter ref="$Y$4:$AC$13"/>
    </customSheetView>
    <customSheetView guid="{8BD04D99-3797-4623-A7A9-2B1BE462C8CA}" filter="1" showAutoFilter="1">
      <autoFilter ref="$A$4:$X$13"/>
    </customSheetView>
  </customSheetViews>
  <mergeCells count="1">
    <mergeCell ref="B1:M2"/>
  </mergeCells>
  <conditionalFormatting sqref="U4:U13">
    <cfRule type="containsText" dxfId="5" priority="1" operator="containsText" text="Critical">
      <formula>NOT(ISERROR(SEARCH(("Critical"),(U4))))</formula>
    </cfRule>
  </conditionalFormatting>
  <conditionalFormatting sqref="U4:U13">
    <cfRule type="containsText" dxfId="6" priority="2" operator="containsText" text="Low">
      <formula>NOT(ISERROR(SEARCH(("Low"),(U4))))</formula>
    </cfRule>
  </conditionalFormatting>
  <conditionalFormatting sqref="U4:U13">
    <cfRule type="containsText" dxfId="7" priority="3" operator="containsText" text="Adequate ">
      <formula>NOT(ISERROR(SEARCH(("Adequate "),(U4))))</formula>
    </cfRule>
  </conditionalFormatting>
  <conditionalFormatting sqref="U5:U13">
    <cfRule type="containsText" dxfId="5" priority="4" operator="containsText" text="Critical">
      <formula>NOT(ISERROR(SEARCH(("Critical"),(U5))))</formula>
    </cfRule>
  </conditionalFormatting>
  <conditionalFormatting sqref="U5:U13">
    <cfRule type="containsText" dxfId="6" priority="5" operator="containsText" text="Low">
      <formula>NOT(ISERROR(SEARCH(("Low"),(U5))))</formula>
    </cfRule>
  </conditionalFormatting>
  <conditionalFormatting sqref="U5:U13">
    <cfRule type="containsText" dxfId="7" priority="6" operator="containsText" text="Adequate">
      <formula>NOT(ISERROR(SEARCH(("Adequate"),(U5))))</formula>
    </cfRule>
  </conditionalFormatting>
  <printOptions/>
  <pageMargins bottom="0.75" footer="0.0" header="0.0" left="0.7" right="0.7" top="0.75"/>
  <pageSetup orientation="landscape"/>
  <drawing r:id="rId1"/>
  <tableParts count="2">
    <tablePart r:id="rId4"/>
    <tablePart r:id="rId5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13.43"/>
    <col customWidth="1" min="3" max="11" width="8.71"/>
    <col customWidth="1" min="12" max="12" width="13.57"/>
    <col customWidth="1" min="13" max="13" width="12.29"/>
    <col customWidth="1" min="14" max="14" width="13.86"/>
    <col customWidth="1" min="15" max="15" width="11.29"/>
    <col customWidth="1" min="16" max="30" width="8.71"/>
    <col customWidth="1" min="31" max="39" width="11.43"/>
  </cols>
  <sheetData>
    <row r="1" ht="14.25" customHeight="1"/>
    <row r="2" ht="14.25" customHeight="1"/>
    <row r="3" ht="46.5" customHeight="1">
      <c r="A3" s="27" t="s">
        <v>9</v>
      </c>
      <c r="B3" s="72" t="s">
        <v>11</v>
      </c>
      <c r="C3" s="72" t="s">
        <v>136</v>
      </c>
      <c r="D3" s="72" t="s">
        <v>84</v>
      </c>
      <c r="E3" s="72" t="s">
        <v>138</v>
      </c>
      <c r="F3" s="72" t="s">
        <v>139</v>
      </c>
      <c r="G3" s="72" t="s">
        <v>140</v>
      </c>
      <c r="H3" s="72" t="s">
        <v>166</v>
      </c>
      <c r="I3" s="72" t="s">
        <v>141</v>
      </c>
      <c r="J3" s="72" t="s">
        <v>142</v>
      </c>
      <c r="K3" s="72" t="s">
        <v>143</v>
      </c>
      <c r="L3" s="72" t="s">
        <v>116</v>
      </c>
      <c r="M3" s="72" t="s">
        <v>144</v>
      </c>
      <c r="N3" s="72" t="s">
        <v>145</v>
      </c>
      <c r="O3" s="72" t="s">
        <v>173</v>
      </c>
      <c r="P3" s="72" t="s">
        <v>175</v>
      </c>
      <c r="Q3" s="72" t="s">
        <v>176</v>
      </c>
      <c r="R3" s="72" t="s">
        <v>178</v>
      </c>
      <c r="S3" s="72" t="s">
        <v>180</v>
      </c>
      <c r="T3" s="72" t="s">
        <v>181</v>
      </c>
      <c r="U3" s="72" t="s">
        <v>183</v>
      </c>
      <c r="V3" s="72" t="s">
        <v>184</v>
      </c>
      <c r="W3" s="72" t="s">
        <v>185</v>
      </c>
      <c r="X3" s="72" t="s">
        <v>186</v>
      </c>
      <c r="Y3" s="72" t="s">
        <v>187</v>
      </c>
      <c r="Z3" s="27" t="s">
        <v>188</v>
      </c>
      <c r="AA3" s="27" t="s">
        <v>189</v>
      </c>
      <c r="AB3" s="27" t="s">
        <v>190</v>
      </c>
      <c r="AC3" s="27" t="s">
        <v>191</v>
      </c>
      <c r="AD3" s="27" t="s">
        <v>192</v>
      </c>
      <c r="AE3" s="27" t="s">
        <v>194</v>
      </c>
      <c r="AF3" s="27" t="s">
        <v>195</v>
      </c>
      <c r="AG3" s="27" t="s">
        <v>197</v>
      </c>
      <c r="AH3" s="27" t="s">
        <v>198</v>
      </c>
      <c r="AI3" s="27" t="s">
        <v>199</v>
      </c>
      <c r="AJ3" s="27" t="s">
        <v>201</v>
      </c>
      <c r="AK3" s="27" t="s">
        <v>202</v>
      </c>
      <c r="AL3" s="27" t="s">
        <v>203</v>
      </c>
      <c r="AM3" s="27" t="s">
        <v>160</v>
      </c>
    </row>
    <row r="4" ht="14.25" customHeight="1">
      <c r="A4" s="15">
        <f>ROW() - ROW(Table134510[[#HEADERS],[S.No]])</f>
        <v>1</v>
      </c>
      <c r="B4" s="16">
        <v>46266.0</v>
      </c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9"/>
      <c r="R4" s="19"/>
      <c r="S4" s="19"/>
      <c r="T4" s="19"/>
      <c r="U4" s="19"/>
      <c r="V4" s="18"/>
      <c r="W4" s="18"/>
      <c r="X4" s="18"/>
      <c r="Y4" s="18"/>
    </row>
    <row r="5" ht="14.25" customHeight="1">
      <c r="A5" s="15">
        <f>ROW() - ROW(Table134510[[#HEADERS],[S.No]])</f>
        <v>2</v>
      </c>
      <c r="B5" s="16">
        <v>46267.0</v>
      </c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9"/>
      <c r="R5" s="19"/>
      <c r="S5" s="19"/>
      <c r="T5" s="19"/>
      <c r="U5" s="19"/>
      <c r="V5" s="18"/>
      <c r="W5" s="18"/>
      <c r="X5" s="18"/>
      <c r="Y5" s="18"/>
    </row>
    <row r="6" ht="14.25" customHeight="1">
      <c r="A6" s="15">
        <f>ROW() - ROW(Table134510[[#HEADERS],[S.No]])</f>
        <v>3</v>
      </c>
      <c r="B6" s="16">
        <v>46268.0</v>
      </c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9"/>
      <c r="R6" s="19"/>
      <c r="S6" s="19"/>
      <c r="T6" s="19"/>
      <c r="U6" s="19"/>
      <c r="V6" s="18"/>
      <c r="W6" s="18"/>
      <c r="X6" s="18"/>
      <c r="Y6" s="18"/>
    </row>
    <row r="7" ht="14.25" customHeight="1">
      <c r="A7" s="15">
        <f>ROW() - ROW(Table134510[[#HEADERS],[S.No]])</f>
        <v>4</v>
      </c>
      <c r="B7" s="16">
        <v>46269.0</v>
      </c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9"/>
      <c r="R7" s="19"/>
      <c r="S7" s="19"/>
      <c r="T7" s="19"/>
      <c r="U7" s="19"/>
      <c r="V7" s="18"/>
      <c r="W7" s="18"/>
      <c r="X7" s="18"/>
      <c r="Y7" s="18"/>
    </row>
    <row r="8" ht="14.25" customHeight="1">
      <c r="A8" s="15">
        <f>ROW() - ROW(Table134510[[#HEADERS],[S.No]])</f>
        <v>5</v>
      </c>
      <c r="B8" s="16">
        <v>46270.0</v>
      </c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9"/>
      <c r="R8" s="19"/>
      <c r="S8" s="19"/>
      <c r="T8" s="19"/>
      <c r="U8" s="19"/>
      <c r="V8" s="18"/>
      <c r="W8" s="18"/>
      <c r="X8" s="18"/>
      <c r="Y8" s="18"/>
    </row>
    <row r="9" ht="14.25" customHeight="1">
      <c r="B9" s="16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9"/>
      <c r="R9" s="19"/>
      <c r="S9" s="19"/>
      <c r="T9" s="19"/>
      <c r="U9" s="19"/>
      <c r="V9" s="18"/>
      <c r="W9" s="18"/>
      <c r="X9" s="18"/>
      <c r="Y9" s="18"/>
    </row>
    <row r="10" ht="14.25" customHeight="1">
      <c r="B10" s="16"/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9"/>
      <c r="R10" s="19"/>
      <c r="S10" s="19"/>
      <c r="T10" s="19"/>
      <c r="U10" s="19"/>
      <c r="V10" s="18"/>
      <c r="W10" s="18"/>
      <c r="X10" s="18"/>
      <c r="Y10" s="18"/>
    </row>
    <row r="11" ht="14.25" customHeight="1">
      <c r="B11" s="16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9"/>
      <c r="R11" s="19"/>
      <c r="S11" s="19"/>
      <c r="T11" s="19"/>
      <c r="U11" s="19"/>
      <c r="V11" s="18"/>
      <c r="W11" s="18"/>
      <c r="X11" s="18"/>
      <c r="Y11" s="18"/>
    </row>
    <row r="12" ht="14.25" customHeight="1">
      <c r="B12" s="16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9"/>
      <c r="R12" s="19"/>
      <c r="S12" s="19"/>
      <c r="T12" s="19"/>
      <c r="U12" s="19"/>
      <c r="V12" s="18"/>
      <c r="W12" s="18"/>
      <c r="X12" s="18"/>
      <c r="Y12" s="18"/>
    </row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customSheetViews>
    <customSheetView guid="{DD335A9C-E708-4748-838E-B96FCD572F96}" filter="1" showAutoFilter="1">
      <autoFilter ref="$Z$3:$AD$12"/>
    </customSheetView>
    <customSheetView guid="{06E92754-EC84-4BA5-AAFA-B5B233FA3576}" filter="1" showAutoFilter="1">
      <autoFilter ref="$A$3:$Y$12"/>
    </customSheetView>
    <customSheetView guid="{7BD334A5-F796-4193-B9ED-39A8B31E6DB1}" filter="1" showAutoFilter="1">
      <autoFilter ref="$AE$3:$AM$12"/>
    </customSheetView>
  </customSheetViews>
  <conditionalFormatting sqref="V3:V12">
    <cfRule type="containsText" dxfId="5" priority="1" operator="containsText" text="Critical">
      <formula>NOT(ISERROR(SEARCH(("Critical"),(V3))))</formula>
    </cfRule>
  </conditionalFormatting>
  <conditionalFormatting sqref="V3:V12">
    <cfRule type="containsText" dxfId="6" priority="2" operator="containsText" text="Low">
      <formula>NOT(ISERROR(SEARCH(("Low"),(V3))))</formula>
    </cfRule>
  </conditionalFormatting>
  <conditionalFormatting sqref="V3:V12">
    <cfRule type="containsText" dxfId="7" priority="3" operator="containsText" text="Adequate ">
      <formula>NOT(ISERROR(SEARCH(("Adequate "),(V3))))</formula>
    </cfRule>
  </conditionalFormatting>
  <conditionalFormatting sqref="V4:V12">
    <cfRule type="containsText" dxfId="5" priority="4" operator="containsText" text="Critical">
      <formula>NOT(ISERROR(SEARCH(("Critical"),(V4))))</formula>
    </cfRule>
  </conditionalFormatting>
  <conditionalFormatting sqref="V4:V12">
    <cfRule type="containsText" dxfId="6" priority="5" operator="containsText" text="Low">
      <formula>NOT(ISERROR(SEARCH(("Low"),(V4))))</formula>
    </cfRule>
  </conditionalFormatting>
  <conditionalFormatting sqref="V4:V12">
    <cfRule type="containsText" dxfId="7" priority="6" operator="containsText" text="Adequate">
      <formula>NOT(ISERROR(SEARCH(("Adequate"),(V4))))</formula>
    </cfRule>
  </conditionalFormatting>
  <printOptions/>
  <pageMargins bottom="0.75" footer="0.0" header="0.0" left="0.7" right="0.7" top="0.75"/>
  <pageSetup orientation="landscape"/>
  <drawing r:id="rId1"/>
  <tableParts count="3">
    <tablePart r:id="rId5"/>
    <tablePart r:id="rId6"/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22.71"/>
    <col customWidth="1" min="4" max="4" width="40.29"/>
    <col customWidth="1" min="5" max="5" width="21.57"/>
    <col customWidth="1" min="6" max="6" width="18.14"/>
    <col customWidth="1" min="7" max="7" width="17.43"/>
    <col customWidth="1" min="8" max="8" width="21.43"/>
    <col customWidth="1" min="9" max="9" width="24.29"/>
    <col customWidth="1" min="10" max="26" width="8.71"/>
  </cols>
  <sheetData>
    <row r="1" ht="14.25" customHeight="1">
      <c r="B1" s="50"/>
      <c r="C1" s="23" t="s">
        <v>161</v>
      </c>
      <c r="D1" s="4"/>
      <c r="E1" s="5"/>
    </row>
    <row r="2" ht="14.25" customHeight="1">
      <c r="C2" s="69"/>
      <c r="D2" s="70"/>
      <c r="E2" s="71"/>
    </row>
    <row r="3" ht="14.25" customHeight="1">
      <c r="C3" s="73" t="s">
        <v>162</v>
      </c>
      <c r="D3" s="74" t="s">
        <v>163</v>
      </c>
      <c r="E3" s="74" t="s">
        <v>164</v>
      </c>
    </row>
    <row r="4" ht="14.25" customHeight="1">
      <c r="C4" s="75" t="s">
        <v>165</v>
      </c>
      <c r="D4" s="76">
        <v>6.5572779E7</v>
      </c>
      <c r="E4" s="76">
        <v>1.18031E7</v>
      </c>
    </row>
    <row r="5" ht="14.25" customHeight="1">
      <c r="C5" s="75" t="s">
        <v>167</v>
      </c>
      <c r="D5" s="76">
        <v>7.3091625E7</v>
      </c>
      <c r="E5" s="76">
        <v>1.3156493E7</v>
      </c>
    </row>
    <row r="6" ht="14.25" customHeight="1">
      <c r="C6" s="75" t="s">
        <v>168</v>
      </c>
      <c r="D6" s="76">
        <v>4.8342719E7</v>
      </c>
      <c r="E6" s="76">
        <v>8701689.0</v>
      </c>
    </row>
    <row r="7" ht="14.25" customHeight="1">
      <c r="C7" s="75" t="s">
        <v>169</v>
      </c>
      <c r="D7" s="76">
        <v>4500000.0</v>
      </c>
      <c r="E7" s="76">
        <v>810000.0</v>
      </c>
    </row>
    <row r="8" ht="14.25" customHeight="1">
      <c r="C8" s="75" t="s">
        <v>170</v>
      </c>
      <c r="D8" s="76">
        <v>8059200.0</v>
      </c>
      <c r="E8" s="76">
        <v>1450656.0</v>
      </c>
    </row>
    <row r="9" ht="14.25" customHeight="1">
      <c r="C9" s="77" t="s">
        <v>171</v>
      </c>
      <c r="D9" s="78">
        <v>1.99566323E8</v>
      </c>
      <c r="E9" s="78">
        <v>3.5921938E7</v>
      </c>
    </row>
    <row r="10" ht="14.25" customHeight="1">
      <c r="C10" s="75" t="s">
        <v>172</v>
      </c>
      <c r="D10" s="76">
        <v>1.0125E8</v>
      </c>
      <c r="E10" s="79" t="s">
        <v>174</v>
      </c>
    </row>
    <row r="11" ht="14.25" customHeight="1">
      <c r="C11" s="75" t="s">
        <v>177</v>
      </c>
      <c r="D11" s="76">
        <v>6.36E7</v>
      </c>
      <c r="E11" s="79" t="s">
        <v>174</v>
      </c>
    </row>
    <row r="12" ht="14.25" customHeight="1">
      <c r="C12" s="77" t="s">
        <v>179</v>
      </c>
      <c r="D12" s="78">
        <v>3.64416323E8</v>
      </c>
      <c r="E12" s="78">
        <v>3.5921938E7</v>
      </c>
    </row>
    <row r="13" ht="14.25" customHeight="1"/>
    <row r="14" ht="14.25" customHeight="1"/>
    <row r="15" ht="14.25" customHeight="1">
      <c r="C15" s="80" t="s">
        <v>182</v>
      </c>
      <c r="D15" s="81"/>
      <c r="E15" s="81"/>
      <c r="F15" s="81"/>
      <c r="G15" s="81"/>
      <c r="H15" s="81"/>
      <c r="I15" s="82"/>
    </row>
    <row r="16" ht="14.25" customHeight="1">
      <c r="C16" s="83"/>
      <c r="D16" s="70"/>
      <c r="E16" s="70"/>
      <c r="F16" s="70"/>
      <c r="G16" s="70"/>
      <c r="H16" s="70"/>
      <c r="I16" s="84"/>
    </row>
    <row r="17" ht="14.25" customHeight="1">
      <c r="C17" s="85" t="s">
        <v>9</v>
      </c>
      <c r="D17" s="86" t="s">
        <v>193</v>
      </c>
      <c r="E17" s="87" t="s">
        <v>196</v>
      </c>
      <c r="F17" s="87" t="s">
        <v>200</v>
      </c>
      <c r="G17" s="85" t="s">
        <v>174</v>
      </c>
      <c r="H17" s="87" t="s">
        <v>204</v>
      </c>
      <c r="I17" s="87" t="s">
        <v>205</v>
      </c>
    </row>
    <row r="18" ht="14.25" customHeight="1">
      <c r="C18" s="88">
        <v>1.0</v>
      </c>
      <c r="D18" s="89" t="s">
        <v>206</v>
      </c>
      <c r="E18" s="88">
        <v>1.0</v>
      </c>
      <c r="F18" s="90">
        <v>2.37176764E7</v>
      </c>
      <c r="G18" s="90">
        <v>2.37176764E7</v>
      </c>
      <c r="H18" s="90">
        <v>4269181.8</v>
      </c>
      <c r="I18" s="90">
        <v>2.798685815E7</v>
      </c>
    </row>
    <row r="19" ht="14.25" customHeight="1">
      <c r="C19" s="88">
        <v>2.0</v>
      </c>
      <c r="D19" s="89" t="s">
        <v>207</v>
      </c>
      <c r="E19" s="88">
        <v>1.0</v>
      </c>
      <c r="F19" s="91">
        <v>143000.0</v>
      </c>
      <c r="G19" s="90">
        <v>143000.0</v>
      </c>
      <c r="H19" s="90">
        <v>25740.0</v>
      </c>
      <c r="I19" s="90">
        <v>168740.0</v>
      </c>
    </row>
    <row r="20" ht="14.25" customHeight="1">
      <c r="C20" s="88">
        <v>3.0</v>
      </c>
      <c r="D20" s="89" t="s">
        <v>209</v>
      </c>
      <c r="E20" s="88">
        <v>1.0</v>
      </c>
      <c r="F20" s="88">
        <v>8690.0</v>
      </c>
      <c r="G20" s="90">
        <v>8690.0</v>
      </c>
      <c r="H20" s="90">
        <v>1564.2</v>
      </c>
      <c r="I20" s="90">
        <v>10254.2</v>
      </c>
    </row>
    <row r="21" ht="14.25" customHeight="1">
      <c r="C21" s="88">
        <v>4.0</v>
      </c>
      <c r="D21" s="89" t="s">
        <v>211</v>
      </c>
      <c r="E21" s="88">
        <v>1.0</v>
      </c>
      <c r="F21" s="91">
        <v>536000.0</v>
      </c>
      <c r="G21" s="90">
        <v>536000.0</v>
      </c>
      <c r="H21" s="90">
        <v>96480.0</v>
      </c>
      <c r="I21" s="90">
        <v>632480.0</v>
      </c>
    </row>
    <row r="22" ht="14.25" customHeight="1">
      <c r="C22" s="88">
        <v>5.0</v>
      </c>
      <c r="D22" s="89" t="s">
        <v>220</v>
      </c>
      <c r="E22" s="88">
        <v>1.0</v>
      </c>
      <c r="F22" s="91">
        <v>409200.0</v>
      </c>
      <c r="G22" s="90">
        <v>409200.0</v>
      </c>
      <c r="H22" s="90">
        <v>73656.0</v>
      </c>
      <c r="I22" s="90">
        <v>482856.0</v>
      </c>
    </row>
    <row r="23" ht="14.25" customHeight="1">
      <c r="C23" s="88">
        <v>6.0</v>
      </c>
      <c r="D23" s="89" t="s">
        <v>229</v>
      </c>
      <c r="E23" s="88">
        <v>1.0</v>
      </c>
      <c r="F23" s="91">
        <v>205500.0</v>
      </c>
      <c r="G23" s="90">
        <v>205500.0</v>
      </c>
      <c r="H23" s="90">
        <v>36990.0</v>
      </c>
      <c r="I23" s="90">
        <v>242490.0</v>
      </c>
    </row>
    <row r="24" ht="14.25" customHeight="1">
      <c r="C24" s="88">
        <v>7.0</v>
      </c>
      <c r="D24" s="89" t="s">
        <v>231</v>
      </c>
      <c r="E24" s="88">
        <v>1.0</v>
      </c>
      <c r="F24" s="91">
        <v>2035000.0</v>
      </c>
      <c r="G24" s="90">
        <v>2035000.0</v>
      </c>
      <c r="H24" s="90">
        <v>366300.0</v>
      </c>
      <c r="I24" s="90">
        <v>2401300.0</v>
      </c>
    </row>
    <row r="25" ht="14.25" customHeight="1">
      <c r="C25" s="88">
        <v>8.0</v>
      </c>
      <c r="D25" s="89" t="s">
        <v>236</v>
      </c>
      <c r="E25" s="88">
        <v>1.0</v>
      </c>
      <c r="F25" s="91">
        <v>629521.0</v>
      </c>
      <c r="G25" s="90">
        <v>629521.2</v>
      </c>
      <c r="H25" s="90">
        <v>113313.8</v>
      </c>
      <c r="I25" s="90">
        <v>742835.02</v>
      </c>
    </row>
    <row r="26" ht="14.25" customHeight="1">
      <c r="C26" s="88">
        <v>9.0</v>
      </c>
      <c r="D26" s="89" t="s">
        <v>239</v>
      </c>
      <c r="E26" s="88">
        <v>1.0</v>
      </c>
      <c r="F26" s="91">
        <v>4000.0</v>
      </c>
      <c r="G26" s="90">
        <v>4000.0</v>
      </c>
      <c r="H26" s="88">
        <v>720.0</v>
      </c>
      <c r="I26" s="90">
        <v>4720.0</v>
      </c>
    </row>
    <row r="27" ht="14.25" customHeight="1">
      <c r="C27" s="88">
        <v>10.0</v>
      </c>
      <c r="D27" s="89" t="s">
        <v>241</v>
      </c>
      <c r="E27" s="88">
        <v>1.0</v>
      </c>
      <c r="F27" s="91">
        <v>356366.0</v>
      </c>
      <c r="G27" s="90">
        <v>356365.9</v>
      </c>
      <c r="H27" s="90">
        <v>64145.9</v>
      </c>
      <c r="I27" s="90">
        <v>420511.76</v>
      </c>
    </row>
    <row r="28" ht="14.25" customHeight="1">
      <c r="C28" s="88">
        <v>11.0</v>
      </c>
      <c r="D28" s="89" t="s">
        <v>243</v>
      </c>
      <c r="E28" s="88">
        <v>1.0</v>
      </c>
      <c r="F28" s="91">
        <v>376000.0</v>
      </c>
      <c r="G28" s="90">
        <v>376000.0</v>
      </c>
      <c r="H28" s="90">
        <v>67680.0</v>
      </c>
      <c r="I28" s="90">
        <v>443680.0</v>
      </c>
    </row>
    <row r="29" ht="14.25" customHeight="1">
      <c r="C29" s="88">
        <v>12.0</v>
      </c>
      <c r="D29" s="89" t="s">
        <v>246</v>
      </c>
      <c r="E29" s="88">
        <v>1.0</v>
      </c>
      <c r="F29" s="91">
        <v>123000.0</v>
      </c>
      <c r="G29" s="90">
        <v>123000.0</v>
      </c>
      <c r="H29" s="90">
        <v>22140.0</v>
      </c>
      <c r="I29" s="90">
        <v>145140.0</v>
      </c>
    </row>
    <row r="30" ht="14.25" customHeight="1">
      <c r="C30" s="88">
        <v>13.0</v>
      </c>
      <c r="D30" s="89" t="s">
        <v>249</v>
      </c>
      <c r="E30" s="88">
        <v>109.0</v>
      </c>
      <c r="F30" s="91">
        <v>2600.0</v>
      </c>
      <c r="G30" s="90">
        <v>283400.0</v>
      </c>
      <c r="H30" s="90">
        <v>51012.0</v>
      </c>
      <c r="I30" s="90">
        <v>334412.0</v>
      </c>
    </row>
    <row r="31" ht="14.25" customHeight="1">
      <c r="C31" s="88">
        <v>14.0</v>
      </c>
      <c r="D31" s="89" t="s">
        <v>253</v>
      </c>
      <c r="E31" s="88">
        <v>1.0</v>
      </c>
      <c r="F31" s="91">
        <v>20378.0</v>
      </c>
      <c r="G31" s="90">
        <v>20377.5</v>
      </c>
      <c r="H31" s="90">
        <v>3668.0</v>
      </c>
      <c r="I31" s="90">
        <v>24045.45</v>
      </c>
    </row>
    <row r="32" ht="14.25" customHeight="1">
      <c r="C32" s="88">
        <v>15.0</v>
      </c>
      <c r="D32" s="89" t="s">
        <v>254</v>
      </c>
      <c r="E32" s="88">
        <v>1.0</v>
      </c>
      <c r="F32" s="90">
        <v>25602.5</v>
      </c>
      <c r="G32" s="90">
        <v>25602.5</v>
      </c>
      <c r="H32" s="90">
        <v>4608.5</v>
      </c>
      <c r="I32" s="90">
        <v>30210.95</v>
      </c>
    </row>
    <row r="33" ht="14.25" customHeight="1">
      <c r="C33" s="88">
        <v>16.0</v>
      </c>
      <c r="D33" s="89" t="s">
        <v>257</v>
      </c>
      <c r="E33" s="88">
        <v>1.0</v>
      </c>
      <c r="F33" s="91">
        <v>21285.0</v>
      </c>
      <c r="G33" s="90">
        <v>21285.0</v>
      </c>
      <c r="H33" s="90">
        <v>3831.3</v>
      </c>
      <c r="I33" s="90">
        <v>25116.3</v>
      </c>
    </row>
    <row r="34" ht="14.25" customHeight="1">
      <c r="C34" s="88">
        <v>17.0</v>
      </c>
      <c r="D34" s="89" t="s">
        <v>261</v>
      </c>
      <c r="E34" s="88">
        <v>1.0</v>
      </c>
      <c r="F34" s="91">
        <v>1900.0</v>
      </c>
      <c r="G34" s="90">
        <v>1900.0</v>
      </c>
      <c r="H34" s="88">
        <v>342.0</v>
      </c>
      <c r="I34" s="90">
        <v>2242.0</v>
      </c>
    </row>
    <row r="35" ht="14.25" customHeight="1">
      <c r="C35" s="88">
        <v>18.0</v>
      </c>
      <c r="D35" s="89" t="s">
        <v>265</v>
      </c>
      <c r="E35" s="88">
        <v>1.0</v>
      </c>
      <c r="F35" s="91">
        <v>1900.0</v>
      </c>
      <c r="G35" s="90">
        <v>1900.0</v>
      </c>
      <c r="H35" s="88">
        <v>342.0</v>
      </c>
      <c r="I35" s="90">
        <v>2242.0</v>
      </c>
    </row>
    <row r="36" ht="14.25" customHeight="1">
      <c r="C36" s="88">
        <v>19.0</v>
      </c>
      <c r="D36" s="89" t="s">
        <v>267</v>
      </c>
      <c r="E36" s="88">
        <v>1.0</v>
      </c>
      <c r="F36" s="99">
        <v>165000.0</v>
      </c>
      <c r="G36" s="100">
        <v>165000.0</v>
      </c>
      <c r="H36" s="90">
        <v>29700.0</v>
      </c>
      <c r="I36" s="90">
        <v>194700.0</v>
      </c>
    </row>
    <row r="37" ht="14.25" customHeight="1">
      <c r="C37" s="88">
        <v>20.0</v>
      </c>
      <c r="D37" s="89" t="s">
        <v>270</v>
      </c>
      <c r="E37" s="88">
        <v>1.0</v>
      </c>
      <c r="F37" s="91">
        <v>120000.0</v>
      </c>
      <c r="G37" s="90">
        <v>120000.0</v>
      </c>
      <c r="H37" s="90">
        <v>21600.0</v>
      </c>
      <c r="I37" s="90">
        <v>141600.0</v>
      </c>
    </row>
    <row r="38" ht="14.25" customHeight="1">
      <c r="C38" s="88">
        <v>21.0</v>
      </c>
      <c r="D38" s="89" t="s">
        <v>273</v>
      </c>
      <c r="E38" s="88">
        <v>1.0</v>
      </c>
      <c r="F38" s="91">
        <v>6300.0</v>
      </c>
      <c r="G38" s="90">
        <v>6300.0</v>
      </c>
      <c r="H38" s="90">
        <v>1134.0</v>
      </c>
      <c r="I38" s="90">
        <v>7434.0</v>
      </c>
    </row>
    <row r="39" ht="14.25" customHeight="1">
      <c r="C39" s="88">
        <v>22.0</v>
      </c>
      <c r="D39" s="89" t="s">
        <v>275</v>
      </c>
      <c r="E39" s="88">
        <v>1.0</v>
      </c>
      <c r="F39" s="91">
        <v>22000.0</v>
      </c>
      <c r="G39" s="90">
        <v>22000.0</v>
      </c>
      <c r="H39" s="90">
        <v>3960.0</v>
      </c>
      <c r="I39" s="90">
        <v>25960.0</v>
      </c>
    </row>
    <row r="40" ht="14.25" customHeight="1">
      <c r="C40" s="88">
        <v>23.0</v>
      </c>
      <c r="D40" s="89" t="s">
        <v>277</v>
      </c>
      <c r="E40" s="88">
        <v>1.0</v>
      </c>
      <c r="F40" s="91">
        <v>201000.0</v>
      </c>
      <c r="G40" s="90">
        <v>201000.0</v>
      </c>
      <c r="H40" s="90">
        <v>36180.0</v>
      </c>
      <c r="I40" s="90">
        <v>237180.0</v>
      </c>
    </row>
    <row r="41" ht="14.25" customHeight="1">
      <c r="C41" s="88">
        <v>24.0</v>
      </c>
      <c r="D41" s="89" t="s">
        <v>278</v>
      </c>
      <c r="E41" s="88" t="s">
        <v>174</v>
      </c>
      <c r="F41" s="91">
        <v>5500000.0</v>
      </c>
      <c r="G41" s="90">
        <v>5500000.0</v>
      </c>
      <c r="H41" s="90">
        <v>990000.0</v>
      </c>
      <c r="I41" s="90">
        <v>6490000.0</v>
      </c>
    </row>
    <row r="42" ht="14.25" customHeight="1">
      <c r="C42" s="88">
        <v>25.0</v>
      </c>
      <c r="D42" s="89" t="s">
        <v>280</v>
      </c>
      <c r="E42" s="88">
        <v>2.0</v>
      </c>
      <c r="F42" s="91">
        <v>625000.0</v>
      </c>
      <c r="G42" s="91">
        <v>1250000.0</v>
      </c>
      <c r="H42" s="90">
        <v>225000.0</v>
      </c>
      <c r="I42" s="90">
        <v>1475000.0</v>
      </c>
    </row>
    <row r="43" ht="14.25" customHeight="1">
      <c r="C43" s="88">
        <v>26.0</v>
      </c>
      <c r="D43" s="89" t="s">
        <v>282</v>
      </c>
      <c r="E43" s="88">
        <v>9.0</v>
      </c>
      <c r="F43" s="91">
        <v>20000.0</v>
      </c>
      <c r="G43" s="90">
        <v>180000.0</v>
      </c>
      <c r="H43" s="90">
        <v>32400.0</v>
      </c>
      <c r="I43" s="90">
        <v>212400.0</v>
      </c>
    </row>
    <row r="44" ht="14.25" customHeight="1">
      <c r="C44" s="88" t="s">
        <v>174</v>
      </c>
      <c r="D44" s="89" t="s">
        <v>174</v>
      </c>
      <c r="E44" s="88" t="s">
        <v>174</v>
      </c>
      <c r="F44" s="88" t="s">
        <v>174</v>
      </c>
      <c r="G44" s="88" t="s">
        <v>174</v>
      </c>
      <c r="H44" s="88" t="s">
        <v>174</v>
      </c>
      <c r="I44" s="88" t="s">
        <v>174</v>
      </c>
    </row>
    <row r="45" ht="14.25" customHeight="1">
      <c r="C45" s="88" t="s">
        <v>174</v>
      </c>
      <c r="D45" s="101" t="s">
        <v>179</v>
      </c>
      <c r="E45" s="102" t="s">
        <v>174</v>
      </c>
      <c r="F45" s="102" t="s">
        <v>174</v>
      </c>
      <c r="G45" s="103">
        <v>3.63427185E7</v>
      </c>
      <c r="H45" s="103">
        <v>6541689.3</v>
      </c>
      <c r="I45" s="104">
        <v>4.288440783E7</v>
      </c>
    </row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customSheetViews>
    <customSheetView guid="{6C72D682-EAEE-477A-BDE6-36D0FA496517}" filter="1" showAutoFilter="1">
      <autoFilter ref="$C$17:$I$45"/>
    </customSheetView>
  </customSheetViews>
  <mergeCells count="3">
    <mergeCell ref="B1:B2"/>
    <mergeCell ref="C1:E2"/>
    <mergeCell ref="C15:I16"/>
  </mergeCell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12.57"/>
    <col customWidth="1" min="3" max="3" width="30.71"/>
    <col customWidth="1" min="4" max="4" width="17.57"/>
    <col customWidth="1" min="5" max="5" width="19.43"/>
    <col customWidth="1" min="6" max="6" width="18.57"/>
    <col customWidth="1" min="7" max="7" width="9.0"/>
    <col customWidth="1" min="8" max="8" width="9.71"/>
    <col customWidth="1" min="9" max="9" width="11.29"/>
    <col customWidth="1" min="10" max="10" width="12.14"/>
    <col customWidth="1" min="11" max="11" width="16.14"/>
    <col customWidth="1" min="12" max="12" width="14.29"/>
    <col customWidth="1" min="13" max="13" width="13.57"/>
    <col customWidth="1" min="14" max="14" width="12.57"/>
    <col customWidth="1" min="15" max="15" width="21.0"/>
    <col customWidth="1" min="16" max="16" width="14.29"/>
    <col customWidth="1" min="17" max="17" width="22.0"/>
    <col customWidth="1" min="18" max="18" width="22.71"/>
    <col customWidth="1" min="19" max="19" width="16.29"/>
    <col customWidth="1" min="20" max="26" width="8.71"/>
  </cols>
  <sheetData>
    <row r="1" ht="14.25" customHeight="1">
      <c r="A1" s="92" t="s">
        <v>208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5"/>
    </row>
    <row r="2" ht="14.25" customHeight="1">
      <c r="A2" s="6"/>
      <c r="R2" s="7"/>
    </row>
    <row r="3" ht="14.25" customHeight="1">
      <c r="A3" s="8"/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10"/>
    </row>
    <row r="4" ht="14.25" customHeight="1">
      <c r="A4" s="93" t="s">
        <v>9</v>
      </c>
      <c r="B4" s="94" t="s">
        <v>210</v>
      </c>
      <c r="C4" s="94" t="s">
        <v>212</v>
      </c>
      <c r="D4" s="94" t="s">
        <v>213</v>
      </c>
      <c r="E4" s="94" t="s">
        <v>214</v>
      </c>
      <c r="F4" s="94" t="s">
        <v>215</v>
      </c>
      <c r="G4" s="94" t="s">
        <v>216</v>
      </c>
      <c r="H4" s="94" t="s">
        <v>217</v>
      </c>
      <c r="I4" s="94" t="s">
        <v>218</v>
      </c>
      <c r="J4" s="94" t="s">
        <v>219</v>
      </c>
      <c r="K4" s="94" t="s">
        <v>221</v>
      </c>
      <c r="L4" s="94" t="s">
        <v>222</v>
      </c>
      <c r="M4" s="94" t="s">
        <v>223</v>
      </c>
      <c r="N4" s="94" t="s">
        <v>224</v>
      </c>
      <c r="O4" s="94" t="s">
        <v>225</v>
      </c>
      <c r="P4" s="94" t="s">
        <v>226</v>
      </c>
      <c r="Q4" s="94" t="s">
        <v>227</v>
      </c>
      <c r="R4" s="94" t="s">
        <v>228</v>
      </c>
    </row>
    <row r="5" ht="14.25" customHeight="1">
      <c r="A5" s="15">
        <v>1.0</v>
      </c>
      <c r="B5" s="15">
        <v>8507145.0</v>
      </c>
      <c r="C5" s="15" t="s">
        <v>230</v>
      </c>
      <c r="D5" s="95">
        <v>3.9269099E7</v>
      </c>
      <c r="E5" s="15" t="s">
        <v>55</v>
      </c>
      <c r="F5" s="96">
        <v>46243.0</v>
      </c>
      <c r="G5" s="95">
        <v>55.0</v>
      </c>
      <c r="H5" s="15" t="s">
        <v>232</v>
      </c>
      <c r="I5" s="15">
        <v>375.0</v>
      </c>
      <c r="J5" s="15" t="s">
        <v>233</v>
      </c>
      <c r="K5" s="15">
        <v>2.30000339E8</v>
      </c>
      <c r="L5" s="15" t="s">
        <v>234</v>
      </c>
      <c r="M5" s="97">
        <v>20625.0</v>
      </c>
      <c r="N5" s="15" t="s">
        <v>55</v>
      </c>
      <c r="O5" s="15" t="s">
        <v>55</v>
      </c>
      <c r="P5" s="15" t="s">
        <v>55</v>
      </c>
      <c r="Q5" s="15" t="s">
        <v>55</v>
      </c>
      <c r="R5" s="15" t="s">
        <v>235</v>
      </c>
      <c r="S5" s="98"/>
    </row>
    <row r="6" ht="14.25" customHeight="1">
      <c r="A6" s="15">
        <v>2.0</v>
      </c>
      <c r="B6" s="15">
        <v>8507144.0</v>
      </c>
      <c r="C6" s="15" t="s">
        <v>237</v>
      </c>
      <c r="D6" s="95">
        <v>3.9269099E7</v>
      </c>
      <c r="E6" s="15" t="s">
        <v>55</v>
      </c>
      <c r="F6" s="96">
        <v>46243.0</v>
      </c>
      <c r="G6" s="95">
        <v>55.0</v>
      </c>
      <c r="H6" s="15" t="s">
        <v>232</v>
      </c>
      <c r="I6" s="15">
        <v>625.0</v>
      </c>
      <c r="J6" s="15" t="s">
        <v>233</v>
      </c>
      <c r="K6" s="15">
        <v>2.30000339E8</v>
      </c>
      <c r="L6" s="15" t="s">
        <v>238</v>
      </c>
      <c r="M6" s="97">
        <v>34375.0</v>
      </c>
      <c r="N6" s="15" t="s">
        <v>55</v>
      </c>
      <c r="O6" s="15" t="s">
        <v>55</v>
      </c>
      <c r="P6" s="15" t="s">
        <v>55</v>
      </c>
      <c r="Q6" s="15" t="s">
        <v>55</v>
      </c>
      <c r="R6" s="15" t="s">
        <v>235</v>
      </c>
    </row>
    <row r="7" ht="14.25" customHeight="1">
      <c r="A7" s="15">
        <v>3.0</v>
      </c>
      <c r="B7" s="15">
        <v>8507150.0</v>
      </c>
      <c r="C7" s="15" t="s">
        <v>240</v>
      </c>
      <c r="D7" s="95">
        <v>8.4806E7</v>
      </c>
      <c r="E7" s="15" t="s">
        <v>55</v>
      </c>
      <c r="F7" s="96">
        <v>46243.0</v>
      </c>
      <c r="G7" s="95">
        <v>3.0</v>
      </c>
      <c r="H7" s="15" t="s">
        <v>232</v>
      </c>
      <c r="I7" s="97">
        <v>3700.0</v>
      </c>
      <c r="J7" s="15" t="s">
        <v>233</v>
      </c>
      <c r="K7" s="15">
        <v>2.30000339E8</v>
      </c>
      <c r="L7" s="15" t="s">
        <v>242</v>
      </c>
      <c r="M7" s="97">
        <v>11100.0</v>
      </c>
      <c r="N7" s="15" t="s">
        <v>55</v>
      </c>
      <c r="O7" s="15" t="s">
        <v>55</v>
      </c>
      <c r="P7" s="15" t="s">
        <v>55</v>
      </c>
      <c r="Q7" s="15" t="s">
        <v>55</v>
      </c>
      <c r="R7" s="15" t="s">
        <v>235</v>
      </c>
    </row>
    <row r="8" ht="14.25" customHeight="1">
      <c r="A8" s="15">
        <v>4.0</v>
      </c>
      <c r="B8" s="15">
        <v>8507146.0</v>
      </c>
      <c r="C8" s="15" t="s">
        <v>244</v>
      </c>
      <c r="D8" s="95">
        <v>8.4806E7</v>
      </c>
      <c r="E8" s="15" t="s">
        <v>55</v>
      </c>
      <c r="F8" s="96">
        <v>46243.0</v>
      </c>
      <c r="G8" s="95">
        <v>3.0</v>
      </c>
      <c r="H8" s="15" t="s">
        <v>232</v>
      </c>
      <c r="I8" s="97">
        <v>2700.0</v>
      </c>
      <c r="J8" s="15" t="s">
        <v>233</v>
      </c>
      <c r="K8" s="15">
        <v>2.30000339E8</v>
      </c>
      <c r="L8" s="15" t="s">
        <v>245</v>
      </c>
      <c r="M8" s="97">
        <v>8100.0</v>
      </c>
      <c r="N8" s="15" t="s">
        <v>55</v>
      </c>
      <c r="O8" s="15" t="s">
        <v>55</v>
      </c>
      <c r="P8" s="15" t="s">
        <v>55</v>
      </c>
      <c r="Q8" s="15" t="s">
        <v>55</v>
      </c>
      <c r="R8" s="15" t="s">
        <v>235</v>
      </c>
    </row>
    <row r="9" ht="14.25" customHeight="1">
      <c r="A9" s="15">
        <v>5.0</v>
      </c>
      <c r="B9" s="15" t="s">
        <v>55</v>
      </c>
      <c r="C9" s="15" t="s">
        <v>247</v>
      </c>
      <c r="D9" s="95" t="s">
        <v>55</v>
      </c>
      <c r="E9" s="15" t="s">
        <v>248</v>
      </c>
      <c r="F9" s="96">
        <v>46295.0</v>
      </c>
      <c r="G9" s="95">
        <v>1.0</v>
      </c>
      <c r="H9" s="15" t="s">
        <v>232</v>
      </c>
      <c r="I9" s="15" t="s">
        <v>55</v>
      </c>
      <c r="J9" s="15" t="s">
        <v>55</v>
      </c>
      <c r="K9" s="15">
        <v>2.30000339E9</v>
      </c>
      <c r="L9" s="15">
        <v>10.0</v>
      </c>
      <c r="M9" s="97">
        <v>1600000.0</v>
      </c>
      <c r="N9" s="15">
        <v>3.500003227E9</v>
      </c>
      <c r="O9" s="15" t="s">
        <v>55</v>
      </c>
      <c r="P9" s="15" t="s">
        <v>55</v>
      </c>
      <c r="Q9" s="15" t="s">
        <v>55</v>
      </c>
      <c r="R9" s="15" t="s">
        <v>250</v>
      </c>
    </row>
    <row r="10" ht="14.25" customHeight="1">
      <c r="A10" s="15">
        <v>6.0</v>
      </c>
      <c r="B10" s="15" t="s">
        <v>55</v>
      </c>
      <c r="C10" s="15" t="s">
        <v>251</v>
      </c>
      <c r="D10" s="95" t="s">
        <v>55</v>
      </c>
      <c r="E10" s="15" t="s">
        <v>252</v>
      </c>
      <c r="F10" s="96">
        <v>46254.0</v>
      </c>
      <c r="G10" s="95">
        <v>1.0</v>
      </c>
      <c r="H10" s="15" t="s">
        <v>232</v>
      </c>
      <c r="I10" s="15" t="s">
        <v>55</v>
      </c>
      <c r="J10" s="15" t="s">
        <v>55</v>
      </c>
      <c r="K10" s="15">
        <v>2.30000339E9</v>
      </c>
      <c r="L10" s="15">
        <v>20.0</v>
      </c>
      <c r="M10" s="97">
        <v>495000.0</v>
      </c>
      <c r="N10" s="15">
        <v>3.50000323E9</v>
      </c>
      <c r="O10" s="15" t="s">
        <v>55</v>
      </c>
      <c r="P10" s="15" t="s">
        <v>55</v>
      </c>
      <c r="Q10" s="15" t="s">
        <v>55</v>
      </c>
      <c r="R10" s="15" t="s">
        <v>250</v>
      </c>
    </row>
    <row r="11" ht="14.25" customHeight="1">
      <c r="A11" s="15">
        <v>7.0</v>
      </c>
      <c r="B11" s="15" t="s">
        <v>55</v>
      </c>
      <c r="C11" s="15" t="s">
        <v>255</v>
      </c>
      <c r="D11" s="95" t="s">
        <v>55</v>
      </c>
      <c r="E11" s="15" t="s">
        <v>256</v>
      </c>
      <c r="F11" s="96">
        <v>46381.0</v>
      </c>
      <c r="G11" s="95">
        <v>1.0</v>
      </c>
      <c r="H11" s="15" t="s">
        <v>232</v>
      </c>
      <c r="I11" s="15" t="s">
        <v>55</v>
      </c>
      <c r="J11" s="15" t="s">
        <v>55</v>
      </c>
      <c r="K11" s="15">
        <v>2.30000339E9</v>
      </c>
      <c r="L11" s="15" t="s">
        <v>55</v>
      </c>
      <c r="M11" s="15" t="s">
        <v>55</v>
      </c>
      <c r="N11" s="15" t="s">
        <v>55</v>
      </c>
      <c r="O11" s="15" t="s">
        <v>55</v>
      </c>
      <c r="P11" s="15" t="s">
        <v>55</v>
      </c>
      <c r="Q11" s="15" t="s">
        <v>55</v>
      </c>
      <c r="R11" s="15" t="s">
        <v>258</v>
      </c>
    </row>
    <row r="12" ht="14.25" customHeight="1">
      <c r="A12" s="15">
        <v>8.0</v>
      </c>
      <c r="B12" s="15" t="s">
        <v>55</v>
      </c>
      <c r="C12" s="15" t="s">
        <v>259</v>
      </c>
      <c r="D12" s="95" t="s">
        <v>55</v>
      </c>
      <c r="E12" s="15" t="s">
        <v>260</v>
      </c>
      <c r="F12" s="15" t="s">
        <v>55</v>
      </c>
      <c r="G12" s="95">
        <v>1.0</v>
      </c>
      <c r="H12" s="15" t="s">
        <v>232</v>
      </c>
      <c r="I12" s="15" t="s">
        <v>55</v>
      </c>
      <c r="J12" s="15" t="s">
        <v>55</v>
      </c>
      <c r="K12" s="15">
        <v>2.300003501E9</v>
      </c>
      <c r="L12" s="15">
        <v>10.0</v>
      </c>
      <c r="M12" s="97">
        <v>195000.0</v>
      </c>
      <c r="N12" s="15" t="s">
        <v>55</v>
      </c>
      <c r="O12" s="15" t="s">
        <v>55</v>
      </c>
      <c r="P12" s="15" t="s">
        <v>55</v>
      </c>
      <c r="Q12" s="15" t="s">
        <v>55</v>
      </c>
      <c r="R12" s="15" t="s">
        <v>262</v>
      </c>
    </row>
    <row r="13" ht="14.25" customHeight="1">
      <c r="A13" s="15">
        <v>9.0</v>
      </c>
      <c r="B13" s="15" t="s">
        <v>55</v>
      </c>
      <c r="C13" s="15" t="s">
        <v>263</v>
      </c>
      <c r="D13" s="95" t="s">
        <v>55</v>
      </c>
      <c r="E13" s="15" t="s">
        <v>264</v>
      </c>
      <c r="F13" s="15" t="s">
        <v>55</v>
      </c>
      <c r="G13" s="95">
        <v>1.0</v>
      </c>
      <c r="H13" s="15" t="s">
        <v>232</v>
      </c>
      <c r="I13" s="15" t="s">
        <v>55</v>
      </c>
      <c r="J13" s="15" t="s">
        <v>55</v>
      </c>
      <c r="K13" s="15">
        <v>2.300003391E9</v>
      </c>
      <c r="L13" s="15">
        <v>20.0</v>
      </c>
      <c r="M13" s="97">
        <v>130000.0</v>
      </c>
      <c r="N13" s="15" t="s">
        <v>55</v>
      </c>
      <c r="O13" s="15" t="s">
        <v>55</v>
      </c>
      <c r="P13" s="15" t="s">
        <v>55</v>
      </c>
      <c r="Q13" s="15" t="s">
        <v>55</v>
      </c>
      <c r="R13" s="15" t="s">
        <v>266</v>
      </c>
    </row>
    <row r="14" ht="14.25" customHeight="1">
      <c r="A14" s="15">
        <v>10.0</v>
      </c>
      <c r="B14" s="15" t="s">
        <v>55</v>
      </c>
      <c r="C14" s="15" t="s">
        <v>268</v>
      </c>
      <c r="D14" s="95" t="s">
        <v>55</v>
      </c>
      <c r="E14" s="15" t="s">
        <v>269</v>
      </c>
      <c r="F14" s="15" t="s">
        <v>55</v>
      </c>
      <c r="G14" s="95">
        <v>1.0</v>
      </c>
      <c r="H14" s="15" t="s">
        <v>232</v>
      </c>
      <c r="I14" s="15" t="s">
        <v>55</v>
      </c>
      <c r="J14" s="15" t="s">
        <v>55</v>
      </c>
      <c r="K14" s="15">
        <v>2.300003391E9</v>
      </c>
      <c r="L14" s="15">
        <v>30.0</v>
      </c>
      <c r="M14" s="97">
        <v>7900.0</v>
      </c>
      <c r="N14" s="15" t="s">
        <v>55</v>
      </c>
      <c r="O14" s="15" t="s">
        <v>55</v>
      </c>
      <c r="P14" s="15" t="s">
        <v>55</v>
      </c>
      <c r="Q14" s="15" t="s">
        <v>55</v>
      </c>
      <c r="R14" s="15" t="s">
        <v>262</v>
      </c>
    </row>
    <row r="15" ht="14.25" customHeight="1">
      <c r="A15" s="15">
        <v>11.0</v>
      </c>
      <c r="B15" s="15" t="s">
        <v>55</v>
      </c>
      <c r="C15" s="15" t="s">
        <v>271</v>
      </c>
      <c r="D15" s="95" t="s">
        <v>55</v>
      </c>
      <c r="E15" s="15" t="s">
        <v>272</v>
      </c>
      <c r="F15" s="96">
        <v>46245.0</v>
      </c>
      <c r="G15" s="95">
        <v>1.0</v>
      </c>
      <c r="H15" s="15" t="s">
        <v>232</v>
      </c>
      <c r="I15" s="15" t="s">
        <v>55</v>
      </c>
      <c r="J15" s="15" t="s">
        <v>55</v>
      </c>
      <c r="K15" s="15">
        <v>2.300003391E9</v>
      </c>
      <c r="L15" s="15">
        <v>40.0</v>
      </c>
      <c r="M15" s="97">
        <v>43650.0</v>
      </c>
      <c r="N15" s="15">
        <v>3.500003266E9</v>
      </c>
      <c r="O15" s="15" t="s">
        <v>55</v>
      </c>
      <c r="P15" s="15" t="s">
        <v>55</v>
      </c>
      <c r="Q15" s="15" t="s">
        <v>55</v>
      </c>
      <c r="R15" s="15" t="s">
        <v>250</v>
      </c>
    </row>
    <row r="16" ht="14.25" customHeight="1">
      <c r="A16" s="15">
        <v>12.0</v>
      </c>
      <c r="B16" s="15" t="s">
        <v>55</v>
      </c>
      <c r="C16" s="15" t="s">
        <v>274</v>
      </c>
      <c r="D16" s="95" t="s">
        <v>55</v>
      </c>
      <c r="E16" s="15" t="s">
        <v>272</v>
      </c>
      <c r="F16" s="96">
        <v>46245.0</v>
      </c>
      <c r="G16" s="95">
        <v>1.0</v>
      </c>
      <c r="H16" s="15" t="s">
        <v>232</v>
      </c>
      <c r="I16" s="15" t="s">
        <v>55</v>
      </c>
      <c r="J16" s="15" t="s">
        <v>55</v>
      </c>
      <c r="K16" s="15">
        <v>2.300003391E9</v>
      </c>
      <c r="L16" s="15">
        <v>50.0</v>
      </c>
      <c r="M16" s="15">
        <v>610.0</v>
      </c>
      <c r="N16" s="15">
        <v>3.500003266E9</v>
      </c>
      <c r="O16" s="15" t="s">
        <v>55</v>
      </c>
      <c r="P16" s="15" t="s">
        <v>55</v>
      </c>
      <c r="Q16" s="15" t="s">
        <v>55</v>
      </c>
      <c r="R16" s="15" t="s">
        <v>250</v>
      </c>
    </row>
    <row r="17" ht="14.25" customHeight="1">
      <c r="A17" s="15">
        <v>13.0</v>
      </c>
      <c r="B17" s="15" t="s">
        <v>55</v>
      </c>
      <c r="C17" s="15" t="s">
        <v>276</v>
      </c>
      <c r="D17" s="95" t="s">
        <v>55</v>
      </c>
      <c r="E17" s="15" t="s">
        <v>272</v>
      </c>
      <c r="F17" s="96">
        <v>46245.0</v>
      </c>
      <c r="G17" s="95">
        <v>1.0</v>
      </c>
      <c r="H17" s="15" t="s">
        <v>232</v>
      </c>
      <c r="I17" s="15" t="s">
        <v>55</v>
      </c>
      <c r="J17" s="15" t="s">
        <v>55</v>
      </c>
      <c r="K17" s="15">
        <v>2.300003391E9</v>
      </c>
      <c r="L17" s="15">
        <v>60.0</v>
      </c>
      <c r="M17" s="15">
        <v>675.0</v>
      </c>
      <c r="N17" s="15">
        <v>3.500003266E9</v>
      </c>
      <c r="O17" s="15" t="s">
        <v>55</v>
      </c>
      <c r="P17" s="15" t="s">
        <v>55</v>
      </c>
      <c r="Q17" s="15" t="s">
        <v>55</v>
      </c>
      <c r="R17" s="15" t="s">
        <v>250</v>
      </c>
    </row>
    <row r="18" ht="14.25" customHeight="1">
      <c r="A18" s="15">
        <v>14.0</v>
      </c>
      <c r="B18" s="15" t="s">
        <v>55</v>
      </c>
      <c r="C18" s="15" t="s">
        <v>279</v>
      </c>
      <c r="D18" s="95" t="s">
        <v>55</v>
      </c>
      <c r="E18" s="15" t="s">
        <v>272</v>
      </c>
      <c r="F18" s="96">
        <v>46245.0</v>
      </c>
      <c r="G18" s="95">
        <v>1.0</v>
      </c>
      <c r="H18" s="15" t="s">
        <v>232</v>
      </c>
      <c r="I18" s="15" t="s">
        <v>55</v>
      </c>
      <c r="J18" s="15" t="s">
        <v>55</v>
      </c>
      <c r="K18" s="15">
        <v>2.300003391E9</v>
      </c>
      <c r="L18" s="15">
        <v>70.0</v>
      </c>
      <c r="M18" s="15">
        <v>675.0</v>
      </c>
      <c r="N18" s="15">
        <v>3.500003266E9</v>
      </c>
      <c r="O18" s="15" t="s">
        <v>55</v>
      </c>
      <c r="P18" s="15" t="s">
        <v>55</v>
      </c>
      <c r="Q18" s="15" t="s">
        <v>55</v>
      </c>
      <c r="R18" s="15" t="s">
        <v>250</v>
      </c>
    </row>
    <row r="19" ht="14.25" customHeight="1">
      <c r="A19" s="15">
        <v>15.0</v>
      </c>
      <c r="B19" s="15" t="s">
        <v>55</v>
      </c>
      <c r="C19" s="15" t="s">
        <v>281</v>
      </c>
      <c r="D19" s="95" t="s">
        <v>55</v>
      </c>
      <c r="E19" s="15" t="s">
        <v>272</v>
      </c>
      <c r="F19" s="96">
        <v>46245.0</v>
      </c>
      <c r="G19" s="95">
        <v>1.0</v>
      </c>
      <c r="H19" s="15" t="s">
        <v>232</v>
      </c>
      <c r="I19" s="15" t="s">
        <v>55</v>
      </c>
      <c r="J19" s="15" t="s">
        <v>55</v>
      </c>
      <c r="K19" s="15">
        <v>2.300003391E9</v>
      </c>
      <c r="L19" s="15">
        <v>80.0</v>
      </c>
      <c r="M19" s="15">
        <v>675.0</v>
      </c>
      <c r="N19" s="15">
        <v>3.500003266E9</v>
      </c>
      <c r="O19" s="15" t="s">
        <v>55</v>
      </c>
      <c r="P19" s="15" t="s">
        <v>55</v>
      </c>
      <c r="Q19" s="15" t="s">
        <v>55</v>
      </c>
      <c r="R19" s="15" t="s">
        <v>250</v>
      </c>
    </row>
    <row r="20" ht="14.25" customHeight="1">
      <c r="A20" s="15">
        <v>16.0</v>
      </c>
      <c r="B20" s="15" t="s">
        <v>55</v>
      </c>
      <c r="C20" s="15" t="s">
        <v>283</v>
      </c>
      <c r="D20" s="95" t="s">
        <v>55</v>
      </c>
      <c r="E20" s="15" t="s">
        <v>272</v>
      </c>
      <c r="F20" s="96">
        <v>46245.0</v>
      </c>
      <c r="G20" s="95">
        <v>1.0</v>
      </c>
      <c r="H20" s="15" t="s">
        <v>232</v>
      </c>
      <c r="I20" s="15" t="s">
        <v>55</v>
      </c>
      <c r="J20" s="15" t="s">
        <v>55</v>
      </c>
      <c r="K20" s="15">
        <v>2.300003391E9</v>
      </c>
      <c r="L20" s="15">
        <v>90.0</v>
      </c>
      <c r="M20" s="15">
        <v>675.0</v>
      </c>
      <c r="N20" s="15">
        <v>3.500003266E9</v>
      </c>
      <c r="O20" s="15" t="s">
        <v>55</v>
      </c>
      <c r="P20" s="15" t="s">
        <v>55</v>
      </c>
      <c r="Q20" s="15" t="s">
        <v>55</v>
      </c>
      <c r="R20" s="15" t="s">
        <v>250</v>
      </c>
    </row>
    <row r="21" ht="14.25" customHeight="1">
      <c r="A21" s="15">
        <v>17.0</v>
      </c>
      <c r="B21" s="15" t="s">
        <v>55</v>
      </c>
      <c r="C21" s="15" t="s">
        <v>284</v>
      </c>
      <c r="D21" s="95" t="s">
        <v>55</v>
      </c>
      <c r="E21" s="15" t="s">
        <v>272</v>
      </c>
      <c r="F21" s="96">
        <v>46245.0</v>
      </c>
      <c r="G21" s="95">
        <v>1.0</v>
      </c>
      <c r="H21" s="15" t="s">
        <v>232</v>
      </c>
      <c r="I21" s="15" t="s">
        <v>55</v>
      </c>
      <c r="J21" s="15" t="s">
        <v>55</v>
      </c>
      <c r="K21" s="15">
        <v>2.300003391E9</v>
      </c>
      <c r="L21" s="15">
        <v>100.0</v>
      </c>
      <c r="M21" s="15">
        <v>675.0</v>
      </c>
      <c r="N21" s="15">
        <v>3.500003266E9</v>
      </c>
      <c r="O21" s="15" t="s">
        <v>55</v>
      </c>
      <c r="P21" s="15" t="s">
        <v>55</v>
      </c>
      <c r="Q21" s="15" t="s">
        <v>55</v>
      </c>
      <c r="R21" s="15" t="s">
        <v>250</v>
      </c>
    </row>
    <row r="22" ht="14.25" customHeight="1">
      <c r="A22" s="15">
        <v>18.0</v>
      </c>
      <c r="B22" s="15" t="s">
        <v>55</v>
      </c>
      <c r="C22" s="15" t="s">
        <v>285</v>
      </c>
      <c r="D22" s="95" t="s">
        <v>55</v>
      </c>
      <c r="E22" s="15" t="s">
        <v>272</v>
      </c>
      <c r="F22" s="96">
        <v>46245.0</v>
      </c>
      <c r="G22" s="95">
        <v>1.0</v>
      </c>
      <c r="H22" s="15" t="s">
        <v>232</v>
      </c>
      <c r="I22" s="15" t="s">
        <v>55</v>
      </c>
      <c r="J22" s="15" t="s">
        <v>55</v>
      </c>
      <c r="K22" s="15">
        <v>2.300003391E9</v>
      </c>
      <c r="L22" s="15">
        <v>110.0</v>
      </c>
      <c r="M22" s="15">
        <v>675.0</v>
      </c>
      <c r="N22" s="15">
        <v>3.500003266E9</v>
      </c>
      <c r="O22" s="15" t="s">
        <v>55</v>
      </c>
      <c r="P22" s="15" t="s">
        <v>55</v>
      </c>
      <c r="Q22" s="15" t="s">
        <v>55</v>
      </c>
      <c r="R22" s="15" t="s">
        <v>250</v>
      </c>
    </row>
    <row r="23" ht="14.25" customHeight="1">
      <c r="A23" s="15">
        <v>19.0</v>
      </c>
      <c r="B23" s="15" t="s">
        <v>55</v>
      </c>
      <c r="C23" s="15" t="s">
        <v>286</v>
      </c>
      <c r="D23" s="95" t="s">
        <v>55</v>
      </c>
      <c r="E23" s="15" t="s">
        <v>272</v>
      </c>
      <c r="F23" s="96">
        <v>46245.0</v>
      </c>
      <c r="G23" s="95">
        <v>1.0</v>
      </c>
      <c r="H23" s="15" t="s">
        <v>232</v>
      </c>
      <c r="I23" s="15" t="s">
        <v>55</v>
      </c>
      <c r="J23" s="15" t="s">
        <v>55</v>
      </c>
      <c r="K23" s="15">
        <v>2.300003391E9</v>
      </c>
      <c r="L23" s="15">
        <v>120.0</v>
      </c>
      <c r="M23" s="15">
        <v>765.0</v>
      </c>
      <c r="N23" s="15">
        <v>3.500003266E9</v>
      </c>
      <c r="O23" s="15" t="s">
        <v>55</v>
      </c>
      <c r="P23" s="15" t="s">
        <v>55</v>
      </c>
      <c r="Q23" s="15" t="s">
        <v>55</v>
      </c>
      <c r="R23" s="15" t="s">
        <v>250</v>
      </c>
    </row>
    <row r="24" ht="14.25" customHeight="1">
      <c r="A24" s="15">
        <v>20.0</v>
      </c>
      <c r="B24" s="15" t="s">
        <v>55</v>
      </c>
      <c r="C24" s="15" t="s">
        <v>287</v>
      </c>
      <c r="D24" s="95" t="s">
        <v>55</v>
      </c>
      <c r="E24" s="15" t="s">
        <v>272</v>
      </c>
      <c r="F24" s="96">
        <v>46245.0</v>
      </c>
      <c r="G24" s="95">
        <v>1.0</v>
      </c>
      <c r="H24" s="15" t="s">
        <v>232</v>
      </c>
      <c r="I24" s="15" t="s">
        <v>55</v>
      </c>
      <c r="J24" s="15" t="s">
        <v>55</v>
      </c>
      <c r="K24" s="15">
        <v>2.300003391E9</v>
      </c>
      <c r="L24" s="15">
        <v>130.0</v>
      </c>
      <c r="M24" s="97">
        <v>1350.0</v>
      </c>
      <c r="N24" s="15">
        <v>3.500003266E9</v>
      </c>
      <c r="O24" s="15" t="s">
        <v>55</v>
      </c>
      <c r="P24" s="15" t="s">
        <v>55</v>
      </c>
      <c r="Q24" s="15" t="s">
        <v>55</v>
      </c>
      <c r="R24" s="15" t="s">
        <v>250</v>
      </c>
    </row>
    <row r="25" ht="14.25" customHeight="1">
      <c r="A25" s="15">
        <v>21.0</v>
      </c>
      <c r="B25" s="15" t="s">
        <v>55</v>
      </c>
      <c r="C25" s="15" t="s">
        <v>288</v>
      </c>
      <c r="D25" s="95" t="s">
        <v>55</v>
      </c>
      <c r="E25" s="15" t="s">
        <v>272</v>
      </c>
      <c r="F25" s="96">
        <v>46245.0</v>
      </c>
      <c r="G25" s="95">
        <v>1.0</v>
      </c>
      <c r="H25" s="15" t="s">
        <v>232</v>
      </c>
      <c r="I25" s="15" t="s">
        <v>55</v>
      </c>
      <c r="J25" s="15" t="s">
        <v>55</v>
      </c>
      <c r="K25" s="15">
        <v>2.300003391E9</v>
      </c>
      <c r="L25" s="15">
        <v>140.0</v>
      </c>
      <c r="M25" s="15">
        <v>675.0</v>
      </c>
      <c r="N25" s="15">
        <v>3.500003266E9</v>
      </c>
      <c r="O25" s="15" t="s">
        <v>55</v>
      </c>
      <c r="P25" s="15" t="s">
        <v>55</v>
      </c>
      <c r="Q25" s="15" t="s">
        <v>55</v>
      </c>
      <c r="R25" s="15" t="s">
        <v>250</v>
      </c>
    </row>
    <row r="26" ht="14.25" customHeight="1">
      <c r="A26" s="15">
        <v>22.0</v>
      </c>
      <c r="B26" s="15" t="s">
        <v>55</v>
      </c>
      <c r="C26" s="15" t="s">
        <v>289</v>
      </c>
      <c r="D26" s="95" t="s">
        <v>55</v>
      </c>
      <c r="E26" s="15" t="s">
        <v>290</v>
      </c>
      <c r="F26" s="96">
        <v>46295.0</v>
      </c>
      <c r="G26" s="95">
        <v>1.0</v>
      </c>
      <c r="H26" s="15" t="s">
        <v>232</v>
      </c>
      <c r="I26" s="15" t="s">
        <v>55</v>
      </c>
      <c r="J26" s="15" t="s">
        <v>55</v>
      </c>
      <c r="K26" s="15">
        <v>2.300003391E9</v>
      </c>
      <c r="L26" s="15">
        <v>150.0</v>
      </c>
      <c r="M26" s="97">
        <v>500000.0</v>
      </c>
      <c r="N26" s="15" t="s">
        <v>55</v>
      </c>
      <c r="O26" s="15" t="s">
        <v>55</v>
      </c>
      <c r="P26" s="15" t="s">
        <v>55</v>
      </c>
      <c r="Q26" s="15" t="s">
        <v>55</v>
      </c>
      <c r="R26" s="15" t="s">
        <v>291</v>
      </c>
    </row>
    <row r="27" ht="14.25" customHeight="1">
      <c r="A27" s="15">
        <v>23.0</v>
      </c>
      <c r="B27" s="15" t="s">
        <v>55</v>
      </c>
      <c r="C27" s="15" t="s">
        <v>292</v>
      </c>
      <c r="D27" s="95" t="s">
        <v>55</v>
      </c>
      <c r="E27" s="15" t="s">
        <v>293</v>
      </c>
      <c r="F27" s="96">
        <v>46325.0</v>
      </c>
      <c r="G27" s="95">
        <v>1.0</v>
      </c>
      <c r="H27" s="15" t="s">
        <v>232</v>
      </c>
      <c r="I27" s="15" t="s">
        <v>55</v>
      </c>
      <c r="J27" s="15" t="s">
        <v>55</v>
      </c>
      <c r="K27" s="15">
        <v>2.300003391E9</v>
      </c>
      <c r="L27" s="15">
        <v>160.0</v>
      </c>
      <c r="M27" s="97">
        <v>372000.0</v>
      </c>
      <c r="N27" s="15" t="s">
        <v>55</v>
      </c>
      <c r="O27" s="15" t="s">
        <v>55</v>
      </c>
      <c r="P27" s="15" t="s">
        <v>55</v>
      </c>
      <c r="Q27" s="15" t="s">
        <v>55</v>
      </c>
      <c r="R27" s="15" t="s">
        <v>258</v>
      </c>
    </row>
    <row r="28" ht="14.25" customHeight="1">
      <c r="A28" s="15">
        <v>24.0</v>
      </c>
      <c r="B28" s="15" t="s">
        <v>55</v>
      </c>
      <c r="C28" s="15" t="s">
        <v>231</v>
      </c>
      <c r="D28" s="95" t="s">
        <v>55</v>
      </c>
      <c r="E28" s="15" t="s">
        <v>294</v>
      </c>
      <c r="F28" s="96">
        <v>46341.0</v>
      </c>
      <c r="G28" s="95">
        <v>1.0</v>
      </c>
      <c r="H28" s="15" t="s">
        <v>232</v>
      </c>
      <c r="I28" s="15" t="s">
        <v>55</v>
      </c>
      <c r="J28" s="15" t="s">
        <v>55</v>
      </c>
      <c r="K28" s="15">
        <v>2.300003391E9</v>
      </c>
      <c r="L28" s="15">
        <v>180.0</v>
      </c>
      <c r="M28" s="15" t="s">
        <v>55</v>
      </c>
      <c r="N28" s="15" t="s">
        <v>55</v>
      </c>
      <c r="O28" s="15" t="s">
        <v>55</v>
      </c>
      <c r="P28" s="15" t="s">
        <v>55</v>
      </c>
      <c r="Q28" s="15" t="s">
        <v>55</v>
      </c>
      <c r="R28" s="15" t="s">
        <v>291</v>
      </c>
    </row>
    <row r="29" ht="14.25" customHeight="1">
      <c r="A29" s="15">
        <v>25.0</v>
      </c>
      <c r="B29" s="15" t="s">
        <v>55</v>
      </c>
      <c r="C29" s="15" t="s">
        <v>236</v>
      </c>
      <c r="D29" s="95" t="s">
        <v>55</v>
      </c>
      <c r="E29" s="15" t="s">
        <v>295</v>
      </c>
      <c r="F29" s="96">
        <v>46280.0</v>
      </c>
      <c r="G29" s="95">
        <v>1.0</v>
      </c>
      <c r="H29" s="15" t="s">
        <v>232</v>
      </c>
      <c r="I29" s="15" t="s">
        <v>55</v>
      </c>
      <c r="J29" s="15" t="s">
        <v>55</v>
      </c>
      <c r="K29" s="15">
        <v>2.300003391E9</v>
      </c>
      <c r="L29" s="15">
        <v>190.0</v>
      </c>
      <c r="M29" s="97">
        <v>572292.0</v>
      </c>
      <c r="N29" s="15" t="s">
        <v>55</v>
      </c>
      <c r="O29" s="15" t="s">
        <v>55</v>
      </c>
      <c r="P29" s="15" t="s">
        <v>55</v>
      </c>
      <c r="Q29" s="15" t="s">
        <v>55</v>
      </c>
      <c r="R29" s="15" t="s">
        <v>258</v>
      </c>
    </row>
    <row r="30" ht="14.25" customHeight="1">
      <c r="A30" s="15">
        <v>26.0</v>
      </c>
      <c r="B30" s="15" t="s">
        <v>55</v>
      </c>
      <c r="C30" s="15" t="s">
        <v>296</v>
      </c>
      <c r="D30" s="95" t="s">
        <v>55</v>
      </c>
      <c r="E30" s="15" t="s">
        <v>272</v>
      </c>
      <c r="F30" s="96">
        <v>46245.0</v>
      </c>
      <c r="G30" s="95">
        <v>1.0</v>
      </c>
      <c r="H30" s="15" t="s">
        <v>232</v>
      </c>
      <c r="I30" s="15" t="s">
        <v>55</v>
      </c>
      <c r="J30" s="15" t="s">
        <v>55</v>
      </c>
      <c r="K30" s="15">
        <v>2.300003391E9</v>
      </c>
      <c r="L30" s="15">
        <v>200.0</v>
      </c>
      <c r="M30" s="97">
        <v>2200.0</v>
      </c>
      <c r="N30" s="15">
        <v>3.500003266E9</v>
      </c>
      <c r="O30" s="15" t="s">
        <v>55</v>
      </c>
      <c r="P30" s="15" t="s">
        <v>55</v>
      </c>
      <c r="Q30" s="15" t="s">
        <v>55</v>
      </c>
      <c r="R30" s="15" t="s">
        <v>250</v>
      </c>
    </row>
    <row r="31" ht="14.25" customHeight="1">
      <c r="A31" s="15">
        <v>27.0</v>
      </c>
      <c r="B31" s="15" t="s">
        <v>55</v>
      </c>
      <c r="C31" s="15" t="s">
        <v>297</v>
      </c>
      <c r="D31" s="95" t="s">
        <v>55</v>
      </c>
      <c r="E31" s="15" t="s">
        <v>272</v>
      </c>
      <c r="F31" s="96">
        <v>46245.0</v>
      </c>
      <c r="G31" s="95">
        <v>1.0</v>
      </c>
      <c r="H31" s="15" t="s">
        <v>232</v>
      </c>
      <c r="I31" s="15" t="s">
        <v>55</v>
      </c>
      <c r="J31" s="15" t="s">
        <v>55</v>
      </c>
      <c r="K31" s="15">
        <v>2.300003391E9</v>
      </c>
      <c r="L31" s="15">
        <v>210.0</v>
      </c>
      <c r="M31" s="97">
        <v>13050.0</v>
      </c>
      <c r="N31" s="15">
        <v>3.500003266E9</v>
      </c>
      <c r="O31" s="15" t="s">
        <v>55</v>
      </c>
      <c r="P31" s="15" t="s">
        <v>55</v>
      </c>
      <c r="Q31" s="15" t="s">
        <v>55</v>
      </c>
      <c r="R31" s="15" t="s">
        <v>250</v>
      </c>
    </row>
    <row r="32" ht="14.25" customHeight="1">
      <c r="A32" s="15">
        <v>28.0</v>
      </c>
      <c r="B32" s="15" t="s">
        <v>55</v>
      </c>
      <c r="C32" s="15" t="s">
        <v>298</v>
      </c>
      <c r="D32" s="95" t="s">
        <v>55</v>
      </c>
      <c r="E32" s="15" t="s">
        <v>272</v>
      </c>
      <c r="F32" s="96">
        <v>46245.0</v>
      </c>
      <c r="G32" s="95">
        <v>1.0</v>
      </c>
      <c r="H32" s="15" t="s">
        <v>232</v>
      </c>
      <c r="I32" s="15" t="s">
        <v>55</v>
      </c>
      <c r="J32" s="15" t="s">
        <v>55</v>
      </c>
      <c r="K32" s="15">
        <v>2.300003391E9</v>
      </c>
      <c r="L32" s="15">
        <v>230.0</v>
      </c>
      <c r="M32" s="97">
        <v>9450.0</v>
      </c>
      <c r="N32" s="15">
        <v>3.500003266E9</v>
      </c>
      <c r="O32" s="15" t="s">
        <v>55</v>
      </c>
      <c r="P32" s="15" t="s">
        <v>55</v>
      </c>
      <c r="Q32" s="15" t="s">
        <v>55</v>
      </c>
      <c r="R32" s="15" t="s">
        <v>250</v>
      </c>
    </row>
    <row r="33" ht="14.25" customHeight="1">
      <c r="A33" s="15">
        <v>29.0</v>
      </c>
      <c r="B33" s="15" t="s">
        <v>55</v>
      </c>
      <c r="C33" s="15" t="s">
        <v>299</v>
      </c>
      <c r="D33" s="95" t="s">
        <v>55</v>
      </c>
      <c r="E33" s="15" t="s">
        <v>272</v>
      </c>
      <c r="F33" s="96">
        <v>46245.0</v>
      </c>
      <c r="G33" s="95">
        <v>1.0</v>
      </c>
      <c r="H33" s="15" t="s">
        <v>232</v>
      </c>
      <c r="I33" s="15" t="s">
        <v>55</v>
      </c>
      <c r="J33" s="15" t="s">
        <v>55</v>
      </c>
      <c r="K33" s="15">
        <v>2.300003391E9</v>
      </c>
      <c r="L33" s="15">
        <v>240.0</v>
      </c>
      <c r="M33" s="97">
        <v>10350.0</v>
      </c>
      <c r="N33" s="15">
        <v>3.500003266E9</v>
      </c>
      <c r="O33" s="15" t="s">
        <v>55</v>
      </c>
      <c r="P33" s="15" t="s">
        <v>55</v>
      </c>
      <c r="Q33" s="15" t="s">
        <v>55</v>
      </c>
      <c r="R33" s="15" t="s">
        <v>250</v>
      </c>
    </row>
    <row r="34" ht="14.25" customHeight="1">
      <c r="A34" s="15">
        <v>30.0</v>
      </c>
      <c r="B34" s="15" t="s">
        <v>55</v>
      </c>
      <c r="C34" s="15" t="s">
        <v>300</v>
      </c>
      <c r="D34" s="95" t="s">
        <v>55</v>
      </c>
      <c r="E34" s="15" t="s">
        <v>272</v>
      </c>
      <c r="F34" s="96">
        <v>46245.0</v>
      </c>
      <c r="G34" s="95">
        <v>1.0</v>
      </c>
      <c r="H34" s="15" t="s">
        <v>232</v>
      </c>
      <c r="I34" s="15" t="s">
        <v>55</v>
      </c>
      <c r="J34" s="15" t="s">
        <v>55</v>
      </c>
      <c r="K34" s="15">
        <v>2.300003391E9</v>
      </c>
      <c r="L34" s="15">
        <v>250.0</v>
      </c>
      <c r="M34" s="97">
        <v>9800.0</v>
      </c>
      <c r="N34" s="15">
        <v>3.500003266E9</v>
      </c>
      <c r="O34" s="15" t="s">
        <v>55</v>
      </c>
      <c r="P34" s="15" t="s">
        <v>55</v>
      </c>
      <c r="Q34" s="15" t="s">
        <v>55</v>
      </c>
      <c r="R34" s="15" t="s">
        <v>250</v>
      </c>
    </row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customSheetViews>
    <customSheetView guid="{B146F2D7-73B6-4232-92D6-805A54558D9A}" filter="1" showAutoFilter="1">
      <autoFilter ref="$B$4:$R$34"/>
    </customSheetView>
    <customSheetView guid="{1ED7DC4F-DC9D-4FD0-B25C-C9B307B5EF38}" filter="1" showAutoFilter="1">
      <autoFilter ref="$A$4:$A$34"/>
    </customSheetView>
  </customSheetViews>
  <mergeCells count="1">
    <mergeCell ref="A1:R3"/>
  </mergeCells>
  <printOptions/>
  <pageMargins bottom="0.75" footer="0.0" header="0.0" left="0.7" right="0.7" top="0.75"/>
  <pageSetup orientation="landscape"/>
  <drawing r:id="rId1"/>
  <tableParts count="2">
    <tablePart r:id="rId4"/>
    <tablePart r:id="rId5"/>
  </tableParts>
</worksheet>
</file>